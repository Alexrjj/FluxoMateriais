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bookViews>
    <workbookView xWindow="0" yWindow="0" windowWidth="20490" windowHeight="7155" activeTab="1"/>
  </bookViews>
  <sheets>
    <sheet name="Gráf1" sheetId="6" r:id="rId1"/>
    <sheet name="Ficha_Solicitação_Material" sheetId="1" r:id="rId2"/>
    <sheet name="Codigo_Material" sheetId="2" state="hidden" r:id="rId3"/>
    <sheet name="Materiais_COMPEL" sheetId="5" state="hidden" r:id="rId4"/>
    <sheet name="Status" sheetId="3" state="hidden" r:id="rId5"/>
    <sheet name="Centros_SAP" sheetId="4" state="hidden" r:id="rId6"/>
  </sheets>
  <externalReferences>
    <externalReference r:id="rId7"/>
  </externalReferences>
  <definedNames>
    <definedName name="_xlnm._FilterDatabase" localSheetId="5" hidden="1">Centros_SAP!$A$1:$F$39</definedName>
    <definedName name="_xlnm._FilterDatabase" localSheetId="1" hidden="1">Ficha_Solicitação_Material!$A$9:$T$9</definedName>
    <definedName name="Centros_SAP" localSheetId="3">[1]Centros_SAP!$B$2:$B$39</definedName>
    <definedName name="Centros_SAP">Centros_SAP!$B$2:$B$39</definedName>
    <definedName name="Status" localSheetId="3">[1]Status!$A$2:$A$14</definedName>
    <definedName name="Status">Status!$A$2:$A$14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00" i="1" l="1"/>
  <c r="I500" i="1"/>
  <c r="G500" i="1"/>
  <c r="F500" i="1"/>
  <c r="E500" i="1"/>
  <c r="C500" i="1"/>
  <c r="B500" i="1"/>
  <c r="K499" i="1"/>
  <c r="I499" i="1"/>
  <c r="G499" i="1"/>
  <c r="F499" i="1"/>
  <c r="E499" i="1"/>
  <c r="C499" i="1"/>
  <c r="B499" i="1"/>
  <c r="K498" i="1"/>
  <c r="I498" i="1"/>
  <c r="G498" i="1"/>
  <c r="F498" i="1"/>
  <c r="E498" i="1"/>
  <c r="C498" i="1"/>
  <c r="B498" i="1"/>
  <c r="K497" i="1"/>
  <c r="I497" i="1"/>
  <c r="G497" i="1"/>
  <c r="F497" i="1"/>
  <c r="E497" i="1"/>
  <c r="C497" i="1"/>
  <c r="B497" i="1"/>
  <c r="K496" i="1"/>
  <c r="I496" i="1"/>
  <c r="G496" i="1"/>
  <c r="F496" i="1"/>
  <c r="E496" i="1"/>
  <c r="C496" i="1"/>
  <c r="B496" i="1"/>
  <c r="K495" i="1"/>
  <c r="I495" i="1"/>
  <c r="G495" i="1"/>
  <c r="F495" i="1"/>
  <c r="E495" i="1"/>
  <c r="C495" i="1"/>
  <c r="B495" i="1"/>
  <c r="K494" i="1"/>
  <c r="I494" i="1"/>
  <c r="G494" i="1"/>
  <c r="F494" i="1"/>
  <c r="E494" i="1"/>
  <c r="C494" i="1"/>
  <c r="B494" i="1"/>
  <c r="K493" i="1"/>
  <c r="I493" i="1"/>
  <c r="G493" i="1"/>
  <c r="F493" i="1"/>
  <c r="E493" i="1"/>
  <c r="C493" i="1"/>
  <c r="B493" i="1"/>
  <c r="K492" i="1"/>
  <c r="I492" i="1"/>
  <c r="G492" i="1"/>
  <c r="F492" i="1"/>
  <c r="E492" i="1"/>
  <c r="C492" i="1"/>
  <c r="B492" i="1"/>
  <c r="K491" i="1"/>
  <c r="I491" i="1"/>
  <c r="G491" i="1"/>
  <c r="F491" i="1"/>
  <c r="E491" i="1"/>
  <c r="C491" i="1"/>
  <c r="B491" i="1"/>
  <c r="K490" i="1"/>
  <c r="I490" i="1"/>
  <c r="G490" i="1"/>
  <c r="F490" i="1"/>
  <c r="E490" i="1"/>
  <c r="C490" i="1"/>
  <c r="B490" i="1"/>
  <c r="K489" i="1"/>
  <c r="I489" i="1"/>
  <c r="G489" i="1"/>
  <c r="F489" i="1"/>
  <c r="E489" i="1"/>
  <c r="C489" i="1"/>
  <c r="B489" i="1"/>
  <c r="K488" i="1"/>
  <c r="I488" i="1"/>
  <c r="G488" i="1"/>
  <c r="F488" i="1"/>
  <c r="E488" i="1"/>
  <c r="C488" i="1"/>
  <c r="B488" i="1"/>
  <c r="K487" i="1"/>
  <c r="I487" i="1"/>
  <c r="G487" i="1"/>
  <c r="F487" i="1"/>
  <c r="E487" i="1"/>
  <c r="C487" i="1"/>
  <c r="B487" i="1"/>
  <c r="K486" i="1"/>
  <c r="I486" i="1"/>
  <c r="G486" i="1"/>
  <c r="F486" i="1"/>
  <c r="E486" i="1"/>
  <c r="C486" i="1"/>
  <c r="B486" i="1"/>
  <c r="K485" i="1"/>
  <c r="I485" i="1"/>
  <c r="G485" i="1"/>
  <c r="F485" i="1"/>
  <c r="E485" i="1"/>
  <c r="C485" i="1"/>
  <c r="B485" i="1"/>
  <c r="K484" i="1"/>
  <c r="I484" i="1"/>
  <c r="G484" i="1"/>
  <c r="F484" i="1"/>
  <c r="E484" i="1"/>
  <c r="C484" i="1"/>
  <c r="B484" i="1"/>
  <c r="K483" i="1"/>
  <c r="I483" i="1"/>
  <c r="G483" i="1"/>
  <c r="F483" i="1"/>
  <c r="E483" i="1"/>
  <c r="C483" i="1"/>
  <c r="B483" i="1"/>
  <c r="K482" i="1"/>
  <c r="I482" i="1"/>
  <c r="G482" i="1"/>
  <c r="F482" i="1"/>
  <c r="E482" i="1"/>
  <c r="C482" i="1"/>
  <c r="B482" i="1"/>
  <c r="K481" i="1"/>
  <c r="I481" i="1"/>
  <c r="G481" i="1"/>
  <c r="F481" i="1"/>
  <c r="E481" i="1"/>
  <c r="C481" i="1"/>
  <c r="B481" i="1"/>
  <c r="K480" i="1"/>
  <c r="I480" i="1"/>
  <c r="G480" i="1"/>
  <c r="F480" i="1"/>
  <c r="E480" i="1"/>
  <c r="C480" i="1"/>
  <c r="B480" i="1"/>
  <c r="K479" i="1"/>
  <c r="I479" i="1"/>
  <c r="G479" i="1"/>
  <c r="F479" i="1"/>
  <c r="E479" i="1"/>
  <c r="C479" i="1"/>
  <c r="B479" i="1"/>
  <c r="K478" i="1"/>
  <c r="I478" i="1"/>
  <c r="G478" i="1"/>
  <c r="F478" i="1"/>
  <c r="E478" i="1"/>
  <c r="C478" i="1"/>
  <c r="B478" i="1"/>
  <c r="K477" i="1"/>
  <c r="I477" i="1"/>
  <c r="G477" i="1"/>
  <c r="F477" i="1"/>
  <c r="E477" i="1"/>
  <c r="C477" i="1"/>
  <c r="B477" i="1"/>
  <c r="K476" i="1"/>
  <c r="I476" i="1"/>
  <c r="G476" i="1"/>
  <c r="F476" i="1"/>
  <c r="E476" i="1"/>
  <c r="C476" i="1"/>
  <c r="B476" i="1"/>
  <c r="K475" i="1"/>
  <c r="I475" i="1"/>
  <c r="G475" i="1"/>
  <c r="F475" i="1"/>
  <c r="E475" i="1"/>
  <c r="C475" i="1"/>
  <c r="B475" i="1"/>
  <c r="K474" i="1"/>
  <c r="I474" i="1"/>
  <c r="G474" i="1"/>
  <c r="F474" i="1"/>
  <c r="E474" i="1"/>
  <c r="C474" i="1"/>
  <c r="B474" i="1"/>
  <c r="K473" i="1"/>
  <c r="I473" i="1"/>
  <c r="G473" i="1"/>
  <c r="F473" i="1"/>
  <c r="E473" i="1"/>
  <c r="C473" i="1"/>
  <c r="B473" i="1"/>
  <c r="K472" i="1"/>
  <c r="I472" i="1"/>
  <c r="G472" i="1"/>
  <c r="F472" i="1"/>
  <c r="E472" i="1"/>
  <c r="C472" i="1"/>
  <c r="B472" i="1"/>
  <c r="K471" i="1"/>
  <c r="I471" i="1"/>
  <c r="G471" i="1"/>
  <c r="F471" i="1"/>
  <c r="E471" i="1"/>
  <c r="C471" i="1"/>
  <c r="B471" i="1"/>
  <c r="K470" i="1"/>
  <c r="I470" i="1"/>
  <c r="G470" i="1"/>
  <c r="F470" i="1"/>
  <c r="E470" i="1"/>
  <c r="C470" i="1"/>
  <c r="B470" i="1"/>
  <c r="K469" i="1"/>
  <c r="I469" i="1"/>
  <c r="G469" i="1"/>
  <c r="F469" i="1"/>
  <c r="E469" i="1"/>
  <c r="C469" i="1"/>
  <c r="B469" i="1"/>
  <c r="K468" i="1"/>
  <c r="I468" i="1"/>
  <c r="G468" i="1"/>
  <c r="F468" i="1"/>
  <c r="E468" i="1"/>
  <c r="C468" i="1"/>
  <c r="B468" i="1"/>
  <c r="K467" i="1"/>
  <c r="I467" i="1"/>
  <c r="G467" i="1"/>
  <c r="F467" i="1"/>
  <c r="E467" i="1"/>
  <c r="C467" i="1"/>
  <c r="B467" i="1"/>
  <c r="K466" i="1"/>
  <c r="I466" i="1"/>
  <c r="G466" i="1"/>
  <c r="F466" i="1"/>
  <c r="E466" i="1"/>
  <c r="C466" i="1"/>
  <c r="B466" i="1"/>
  <c r="K465" i="1"/>
  <c r="I465" i="1"/>
  <c r="G465" i="1"/>
  <c r="F465" i="1"/>
  <c r="E465" i="1"/>
  <c r="C465" i="1"/>
  <c r="B465" i="1"/>
  <c r="K464" i="1"/>
  <c r="I464" i="1"/>
  <c r="G464" i="1"/>
  <c r="F464" i="1"/>
  <c r="E464" i="1"/>
  <c r="C464" i="1"/>
  <c r="B464" i="1"/>
  <c r="K463" i="1"/>
  <c r="I463" i="1"/>
  <c r="G463" i="1"/>
  <c r="F463" i="1"/>
  <c r="E463" i="1"/>
  <c r="C463" i="1"/>
  <c r="B463" i="1"/>
  <c r="K462" i="1"/>
  <c r="I462" i="1"/>
  <c r="G462" i="1"/>
  <c r="F462" i="1"/>
  <c r="E462" i="1"/>
  <c r="C462" i="1"/>
  <c r="B462" i="1"/>
  <c r="K461" i="1"/>
  <c r="I461" i="1"/>
  <c r="G461" i="1"/>
  <c r="F461" i="1"/>
  <c r="E461" i="1"/>
  <c r="C461" i="1"/>
  <c r="B461" i="1"/>
  <c r="K460" i="1"/>
  <c r="I460" i="1"/>
  <c r="G460" i="1"/>
  <c r="F460" i="1"/>
  <c r="E460" i="1"/>
  <c r="C460" i="1"/>
  <c r="B460" i="1"/>
  <c r="K459" i="1"/>
  <c r="I459" i="1"/>
  <c r="G459" i="1"/>
  <c r="F459" i="1"/>
  <c r="E459" i="1"/>
  <c r="C459" i="1"/>
  <c r="B459" i="1"/>
  <c r="K458" i="1"/>
  <c r="I458" i="1"/>
  <c r="G458" i="1"/>
  <c r="F458" i="1"/>
  <c r="E458" i="1"/>
  <c r="C458" i="1"/>
  <c r="B458" i="1"/>
  <c r="K457" i="1"/>
  <c r="I457" i="1"/>
  <c r="G457" i="1"/>
  <c r="F457" i="1"/>
  <c r="E457" i="1"/>
  <c r="C457" i="1"/>
  <c r="B457" i="1"/>
  <c r="K456" i="1"/>
  <c r="I456" i="1"/>
  <c r="G456" i="1"/>
  <c r="F456" i="1"/>
  <c r="E456" i="1"/>
  <c r="C456" i="1"/>
  <c r="B456" i="1"/>
  <c r="K455" i="1"/>
  <c r="I455" i="1"/>
  <c r="G455" i="1"/>
  <c r="F455" i="1"/>
  <c r="E455" i="1"/>
  <c r="C455" i="1"/>
  <c r="B455" i="1"/>
  <c r="K454" i="1"/>
  <c r="I454" i="1"/>
  <c r="G454" i="1"/>
  <c r="F454" i="1"/>
  <c r="E454" i="1"/>
  <c r="C454" i="1"/>
  <c r="B454" i="1"/>
  <c r="K453" i="1"/>
  <c r="I453" i="1"/>
  <c r="G453" i="1"/>
  <c r="F453" i="1"/>
  <c r="E453" i="1"/>
  <c r="C453" i="1"/>
  <c r="B453" i="1"/>
  <c r="K452" i="1"/>
  <c r="I452" i="1"/>
  <c r="G452" i="1"/>
  <c r="F452" i="1"/>
  <c r="E452" i="1"/>
  <c r="C452" i="1"/>
  <c r="B452" i="1"/>
  <c r="K451" i="1"/>
  <c r="I451" i="1"/>
  <c r="G451" i="1"/>
  <c r="F451" i="1"/>
  <c r="E451" i="1"/>
  <c r="C451" i="1"/>
  <c r="B451" i="1"/>
  <c r="K450" i="1"/>
  <c r="I450" i="1"/>
  <c r="G450" i="1"/>
  <c r="F450" i="1"/>
  <c r="E450" i="1"/>
  <c r="C450" i="1"/>
  <c r="B450" i="1"/>
  <c r="K449" i="1"/>
  <c r="I449" i="1"/>
  <c r="G449" i="1"/>
  <c r="F449" i="1"/>
  <c r="E449" i="1"/>
  <c r="C449" i="1"/>
  <c r="B449" i="1"/>
  <c r="K448" i="1"/>
  <c r="I448" i="1"/>
  <c r="G448" i="1"/>
  <c r="F448" i="1"/>
  <c r="E448" i="1"/>
  <c r="C448" i="1"/>
  <c r="B448" i="1"/>
  <c r="K447" i="1"/>
  <c r="I447" i="1"/>
  <c r="G447" i="1"/>
  <c r="F447" i="1"/>
  <c r="E447" i="1"/>
  <c r="C447" i="1"/>
  <c r="B447" i="1"/>
  <c r="K446" i="1"/>
  <c r="I446" i="1"/>
  <c r="G446" i="1"/>
  <c r="F446" i="1"/>
  <c r="E446" i="1"/>
  <c r="C446" i="1"/>
  <c r="B446" i="1"/>
  <c r="K445" i="1"/>
  <c r="I445" i="1"/>
  <c r="G445" i="1"/>
  <c r="F445" i="1"/>
  <c r="E445" i="1"/>
  <c r="C445" i="1"/>
  <c r="B445" i="1"/>
  <c r="K444" i="1"/>
  <c r="I444" i="1"/>
  <c r="G444" i="1"/>
  <c r="F444" i="1"/>
  <c r="E444" i="1"/>
  <c r="C444" i="1"/>
  <c r="B444" i="1"/>
  <c r="K443" i="1"/>
  <c r="I443" i="1"/>
  <c r="G443" i="1"/>
  <c r="F443" i="1"/>
  <c r="E443" i="1"/>
  <c r="C443" i="1"/>
  <c r="B443" i="1"/>
  <c r="K442" i="1"/>
  <c r="I442" i="1"/>
  <c r="G442" i="1"/>
  <c r="F442" i="1"/>
  <c r="E442" i="1"/>
  <c r="C442" i="1"/>
  <c r="B442" i="1"/>
  <c r="K441" i="1"/>
  <c r="I441" i="1"/>
  <c r="G441" i="1"/>
  <c r="F441" i="1"/>
  <c r="E441" i="1"/>
  <c r="C441" i="1"/>
  <c r="B441" i="1"/>
  <c r="K440" i="1"/>
  <c r="I440" i="1"/>
  <c r="G440" i="1"/>
  <c r="F440" i="1"/>
  <c r="E440" i="1"/>
  <c r="C440" i="1"/>
  <c r="B440" i="1"/>
  <c r="K439" i="1"/>
  <c r="I439" i="1"/>
  <c r="G439" i="1"/>
  <c r="F439" i="1"/>
  <c r="E439" i="1"/>
  <c r="C439" i="1"/>
  <c r="B439" i="1"/>
  <c r="K438" i="1"/>
  <c r="I438" i="1"/>
  <c r="G438" i="1"/>
  <c r="F438" i="1"/>
  <c r="E438" i="1"/>
  <c r="C438" i="1"/>
  <c r="B438" i="1"/>
  <c r="K437" i="1"/>
  <c r="I437" i="1"/>
  <c r="G437" i="1"/>
  <c r="F437" i="1"/>
  <c r="E437" i="1"/>
  <c r="C437" i="1"/>
  <c r="B437" i="1"/>
  <c r="K436" i="1"/>
  <c r="I436" i="1"/>
  <c r="G436" i="1"/>
  <c r="F436" i="1"/>
  <c r="E436" i="1"/>
  <c r="C436" i="1"/>
  <c r="B436" i="1"/>
  <c r="K435" i="1"/>
  <c r="I435" i="1"/>
  <c r="G435" i="1"/>
  <c r="F435" i="1"/>
  <c r="E435" i="1"/>
  <c r="C435" i="1"/>
  <c r="B435" i="1"/>
  <c r="K434" i="1"/>
  <c r="I434" i="1"/>
  <c r="G434" i="1"/>
  <c r="F434" i="1"/>
  <c r="E434" i="1"/>
  <c r="C434" i="1"/>
  <c r="B434" i="1"/>
  <c r="K433" i="1"/>
  <c r="I433" i="1"/>
  <c r="G433" i="1"/>
  <c r="F433" i="1"/>
  <c r="E433" i="1"/>
  <c r="C433" i="1"/>
  <c r="B433" i="1"/>
  <c r="K432" i="1"/>
  <c r="I432" i="1"/>
  <c r="G432" i="1"/>
  <c r="F432" i="1"/>
  <c r="E432" i="1"/>
  <c r="C432" i="1"/>
  <c r="B432" i="1"/>
  <c r="K431" i="1"/>
  <c r="I431" i="1"/>
  <c r="G431" i="1"/>
  <c r="F431" i="1"/>
  <c r="E431" i="1"/>
  <c r="C431" i="1"/>
  <c r="B431" i="1"/>
  <c r="K430" i="1"/>
  <c r="I430" i="1"/>
  <c r="G430" i="1"/>
  <c r="F430" i="1"/>
  <c r="E430" i="1"/>
  <c r="C430" i="1"/>
  <c r="B430" i="1"/>
  <c r="K429" i="1"/>
  <c r="I429" i="1"/>
  <c r="G429" i="1"/>
  <c r="F429" i="1"/>
  <c r="E429" i="1"/>
  <c r="C429" i="1"/>
  <c r="B429" i="1"/>
  <c r="K428" i="1"/>
  <c r="I428" i="1"/>
  <c r="G428" i="1"/>
  <c r="F428" i="1"/>
  <c r="E428" i="1"/>
  <c r="C428" i="1"/>
  <c r="B428" i="1"/>
  <c r="K427" i="1"/>
  <c r="I427" i="1"/>
  <c r="G427" i="1"/>
  <c r="F427" i="1"/>
  <c r="E427" i="1"/>
  <c r="C427" i="1"/>
  <c r="B427" i="1"/>
  <c r="K426" i="1"/>
  <c r="I426" i="1"/>
  <c r="G426" i="1"/>
  <c r="F426" i="1"/>
  <c r="E426" i="1"/>
  <c r="C426" i="1"/>
  <c r="B426" i="1"/>
  <c r="K425" i="1"/>
  <c r="I425" i="1"/>
  <c r="G425" i="1"/>
  <c r="F425" i="1"/>
  <c r="E425" i="1"/>
  <c r="C425" i="1"/>
  <c r="B425" i="1"/>
  <c r="K424" i="1"/>
  <c r="I424" i="1"/>
  <c r="G424" i="1"/>
  <c r="F424" i="1"/>
  <c r="E424" i="1"/>
  <c r="C424" i="1"/>
  <c r="B424" i="1"/>
  <c r="K423" i="1"/>
  <c r="I423" i="1"/>
  <c r="G423" i="1"/>
  <c r="F423" i="1"/>
  <c r="E423" i="1"/>
  <c r="C423" i="1"/>
  <c r="B423" i="1"/>
  <c r="K422" i="1"/>
  <c r="I422" i="1"/>
  <c r="G422" i="1"/>
  <c r="F422" i="1"/>
  <c r="E422" i="1"/>
  <c r="C422" i="1"/>
  <c r="B422" i="1"/>
  <c r="K421" i="1"/>
  <c r="I421" i="1"/>
  <c r="G421" i="1"/>
  <c r="F421" i="1"/>
  <c r="E421" i="1"/>
  <c r="C421" i="1"/>
  <c r="B421" i="1"/>
  <c r="K420" i="1"/>
  <c r="I420" i="1"/>
  <c r="G420" i="1"/>
  <c r="F420" i="1"/>
  <c r="E420" i="1"/>
  <c r="C420" i="1"/>
  <c r="B420" i="1"/>
  <c r="K419" i="1"/>
  <c r="I419" i="1"/>
  <c r="G419" i="1"/>
  <c r="F419" i="1"/>
  <c r="E419" i="1"/>
  <c r="C419" i="1"/>
  <c r="B419" i="1"/>
  <c r="K418" i="1"/>
  <c r="I418" i="1"/>
  <c r="G418" i="1"/>
  <c r="F418" i="1"/>
  <c r="E418" i="1"/>
  <c r="C418" i="1"/>
  <c r="B418" i="1"/>
  <c r="K417" i="1"/>
  <c r="I417" i="1"/>
  <c r="G417" i="1"/>
  <c r="F417" i="1"/>
  <c r="E417" i="1"/>
  <c r="C417" i="1"/>
  <c r="B417" i="1"/>
  <c r="K416" i="1"/>
  <c r="I416" i="1"/>
  <c r="G416" i="1"/>
  <c r="F416" i="1"/>
  <c r="E416" i="1"/>
  <c r="C416" i="1"/>
  <c r="B416" i="1"/>
  <c r="K415" i="1"/>
  <c r="I415" i="1"/>
  <c r="G415" i="1"/>
  <c r="F415" i="1"/>
  <c r="E415" i="1"/>
  <c r="C415" i="1"/>
  <c r="B415" i="1"/>
  <c r="K414" i="1"/>
  <c r="I414" i="1"/>
  <c r="G414" i="1"/>
  <c r="F414" i="1"/>
  <c r="E414" i="1"/>
  <c r="C414" i="1"/>
  <c r="B414" i="1"/>
  <c r="K413" i="1"/>
  <c r="I413" i="1"/>
  <c r="G413" i="1"/>
  <c r="F413" i="1"/>
  <c r="E413" i="1"/>
  <c r="C413" i="1"/>
  <c r="B413" i="1"/>
  <c r="K412" i="1"/>
  <c r="I412" i="1"/>
  <c r="G412" i="1"/>
  <c r="F412" i="1"/>
  <c r="E412" i="1"/>
  <c r="C412" i="1"/>
  <c r="B412" i="1"/>
  <c r="K411" i="1"/>
  <c r="I411" i="1"/>
  <c r="G411" i="1"/>
  <c r="F411" i="1"/>
  <c r="E411" i="1"/>
  <c r="C411" i="1"/>
  <c r="B411" i="1"/>
  <c r="K410" i="1"/>
  <c r="I410" i="1"/>
  <c r="G410" i="1"/>
  <c r="F410" i="1"/>
  <c r="E410" i="1"/>
  <c r="C410" i="1"/>
  <c r="B410" i="1"/>
  <c r="K409" i="1"/>
  <c r="I409" i="1"/>
  <c r="G409" i="1"/>
  <c r="F409" i="1"/>
  <c r="E409" i="1"/>
  <c r="C409" i="1"/>
  <c r="B409" i="1"/>
  <c r="K408" i="1"/>
  <c r="I408" i="1"/>
  <c r="G408" i="1"/>
  <c r="F408" i="1"/>
  <c r="E408" i="1"/>
  <c r="C408" i="1"/>
  <c r="B408" i="1"/>
  <c r="K407" i="1"/>
  <c r="I407" i="1"/>
  <c r="G407" i="1"/>
  <c r="F407" i="1"/>
  <c r="E407" i="1"/>
  <c r="C407" i="1"/>
  <c r="B407" i="1"/>
  <c r="K406" i="1"/>
  <c r="I406" i="1"/>
  <c r="G406" i="1"/>
  <c r="F406" i="1"/>
  <c r="E406" i="1"/>
  <c r="C406" i="1"/>
  <c r="B406" i="1"/>
  <c r="K405" i="1"/>
  <c r="I405" i="1"/>
  <c r="G405" i="1"/>
  <c r="F405" i="1"/>
  <c r="E405" i="1"/>
  <c r="C405" i="1"/>
  <c r="B405" i="1"/>
  <c r="K404" i="1"/>
  <c r="I404" i="1"/>
  <c r="G404" i="1"/>
  <c r="F404" i="1"/>
  <c r="E404" i="1"/>
  <c r="C404" i="1"/>
  <c r="B404" i="1"/>
  <c r="K403" i="1"/>
  <c r="I403" i="1"/>
  <c r="G403" i="1"/>
  <c r="F403" i="1"/>
  <c r="E403" i="1"/>
  <c r="C403" i="1"/>
  <c r="B403" i="1"/>
  <c r="K402" i="1"/>
  <c r="I402" i="1"/>
  <c r="G402" i="1"/>
  <c r="F402" i="1"/>
  <c r="E402" i="1"/>
  <c r="C402" i="1"/>
  <c r="B402" i="1"/>
  <c r="K401" i="1"/>
  <c r="I401" i="1"/>
  <c r="G401" i="1"/>
  <c r="F401" i="1"/>
  <c r="E401" i="1"/>
  <c r="C401" i="1"/>
  <c r="B401" i="1"/>
  <c r="K400" i="1"/>
  <c r="I400" i="1"/>
  <c r="G400" i="1"/>
  <c r="F400" i="1"/>
  <c r="E400" i="1"/>
  <c r="C400" i="1"/>
  <c r="B400" i="1"/>
  <c r="K399" i="1"/>
  <c r="I399" i="1"/>
  <c r="G399" i="1"/>
  <c r="F399" i="1"/>
  <c r="E399" i="1"/>
  <c r="C399" i="1"/>
  <c r="B399" i="1"/>
  <c r="K398" i="1"/>
  <c r="I398" i="1"/>
  <c r="G398" i="1"/>
  <c r="F398" i="1"/>
  <c r="E398" i="1"/>
  <c r="C398" i="1"/>
  <c r="B398" i="1"/>
  <c r="K397" i="1"/>
  <c r="I397" i="1"/>
  <c r="G397" i="1"/>
  <c r="F397" i="1"/>
  <c r="E397" i="1"/>
  <c r="C397" i="1"/>
  <c r="B397" i="1"/>
  <c r="K396" i="1"/>
  <c r="I396" i="1"/>
  <c r="G396" i="1"/>
  <c r="F396" i="1"/>
  <c r="E396" i="1"/>
  <c r="C396" i="1"/>
  <c r="B396" i="1"/>
  <c r="K395" i="1"/>
  <c r="I395" i="1"/>
  <c r="G395" i="1"/>
  <c r="F395" i="1"/>
  <c r="E395" i="1"/>
  <c r="C395" i="1"/>
  <c r="B395" i="1"/>
  <c r="K394" i="1"/>
  <c r="I394" i="1"/>
  <c r="G394" i="1"/>
  <c r="F394" i="1"/>
  <c r="E394" i="1"/>
  <c r="C394" i="1"/>
  <c r="B394" i="1"/>
  <c r="K393" i="1"/>
  <c r="I393" i="1"/>
  <c r="G393" i="1"/>
  <c r="F393" i="1"/>
  <c r="E393" i="1"/>
  <c r="C393" i="1"/>
  <c r="B393" i="1"/>
  <c r="K392" i="1"/>
  <c r="I392" i="1"/>
  <c r="G392" i="1"/>
  <c r="F392" i="1"/>
  <c r="E392" i="1"/>
  <c r="C392" i="1"/>
  <c r="B392" i="1"/>
  <c r="K391" i="1"/>
  <c r="I391" i="1"/>
  <c r="G391" i="1"/>
  <c r="F391" i="1"/>
  <c r="E391" i="1"/>
  <c r="C391" i="1"/>
  <c r="B391" i="1"/>
  <c r="K390" i="1"/>
  <c r="I390" i="1"/>
  <c r="G390" i="1"/>
  <c r="F390" i="1"/>
  <c r="E390" i="1"/>
  <c r="C390" i="1"/>
  <c r="B390" i="1"/>
  <c r="K389" i="1"/>
  <c r="I389" i="1"/>
  <c r="G389" i="1"/>
  <c r="F389" i="1"/>
  <c r="E389" i="1"/>
  <c r="C389" i="1"/>
  <c r="B389" i="1"/>
  <c r="K388" i="1"/>
  <c r="I388" i="1"/>
  <c r="G388" i="1"/>
  <c r="F388" i="1"/>
  <c r="E388" i="1"/>
  <c r="C388" i="1"/>
  <c r="B388" i="1"/>
  <c r="K387" i="1"/>
  <c r="I387" i="1"/>
  <c r="G387" i="1"/>
  <c r="F387" i="1"/>
  <c r="E387" i="1"/>
  <c r="C387" i="1"/>
  <c r="B387" i="1"/>
  <c r="K386" i="1"/>
  <c r="I386" i="1"/>
  <c r="G386" i="1"/>
  <c r="F386" i="1"/>
  <c r="E386" i="1"/>
  <c r="C386" i="1"/>
  <c r="B386" i="1"/>
  <c r="K385" i="1"/>
  <c r="I385" i="1"/>
  <c r="G385" i="1"/>
  <c r="F385" i="1"/>
  <c r="E385" i="1"/>
  <c r="C385" i="1"/>
  <c r="B385" i="1"/>
  <c r="K384" i="1"/>
  <c r="I384" i="1"/>
  <c r="G384" i="1"/>
  <c r="F384" i="1"/>
  <c r="E384" i="1"/>
  <c r="C384" i="1"/>
  <c r="B384" i="1"/>
  <c r="K383" i="1"/>
  <c r="I383" i="1"/>
  <c r="G383" i="1"/>
  <c r="F383" i="1"/>
  <c r="E383" i="1"/>
  <c r="C383" i="1"/>
  <c r="B383" i="1"/>
  <c r="K382" i="1"/>
  <c r="I382" i="1"/>
  <c r="G382" i="1"/>
  <c r="F382" i="1"/>
  <c r="E382" i="1"/>
  <c r="C382" i="1"/>
  <c r="B382" i="1"/>
  <c r="K381" i="1"/>
  <c r="I381" i="1"/>
  <c r="G381" i="1"/>
  <c r="F381" i="1"/>
  <c r="E381" i="1"/>
  <c r="C381" i="1"/>
  <c r="B381" i="1"/>
  <c r="K380" i="1"/>
  <c r="I380" i="1"/>
  <c r="G380" i="1"/>
  <c r="F380" i="1"/>
  <c r="E380" i="1"/>
  <c r="C380" i="1"/>
  <c r="B380" i="1"/>
  <c r="K379" i="1"/>
  <c r="I379" i="1"/>
  <c r="G379" i="1"/>
  <c r="F379" i="1"/>
  <c r="E379" i="1"/>
  <c r="C379" i="1"/>
  <c r="B379" i="1"/>
  <c r="K378" i="1"/>
  <c r="I378" i="1"/>
  <c r="G378" i="1"/>
  <c r="F378" i="1"/>
  <c r="E378" i="1"/>
  <c r="C378" i="1"/>
  <c r="B378" i="1"/>
  <c r="K377" i="1"/>
  <c r="I377" i="1"/>
  <c r="G377" i="1"/>
  <c r="F377" i="1"/>
  <c r="E377" i="1"/>
  <c r="C377" i="1"/>
  <c r="B377" i="1"/>
  <c r="K376" i="1"/>
  <c r="I376" i="1"/>
  <c r="G376" i="1"/>
  <c r="F376" i="1"/>
  <c r="E376" i="1"/>
  <c r="C376" i="1"/>
  <c r="B376" i="1"/>
  <c r="K375" i="1"/>
  <c r="I375" i="1"/>
  <c r="G375" i="1"/>
  <c r="F375" i="1"/>
  <c r="E375" i="1"/>
  <c r="C375" i="1"/>
  <c r="B375" i="1"/>
  <c r="K374" i="1"/>
  <c r="I374" i="1"/>
  <c r="G374" i="1"/>
  <c r="F374" i="1"/>
  <c r="E374" i="1"/>
  <c r="C374" i="1"/>
  <c r="B374" i="1"/>
  <c r="K373" i="1"/>
  <c r="I373" i="1"/>
  <c r="G373" i="1"/>
  <c r="F373" i="1"/>
  <c r="E373" i="1"/>
  <c r="C373" i="1"/>
  <c r="B373" i="1"/>
  <c r="K372" i="1"/>
  <c r="I372" i="1"/>
  <c r="G372" i="1"/>
  <c r="F372" i="1"/>
  <c r="E372" i="1"/>
  <c r="C372" i="1"/>
  <c r="B372" i="1"/>
  <c r="K371" i="1"/>
  <c r="I371" i="1"/>
  <c r="G371" i="1"/>
  <c r="F371" i="1"/>
  <c r="E371" i="1"/>
  <c r="C371" i="1"/>
  <c r="B371" i="1"/>
  <c r="K370" i="1"/>
  <c r="I370" i="1"/>
  <c r="G370" i="1"/>
  <c r="F370" i="1"/>
  <c r="E370" i="1"/>
  <c r="C370" i="1"/>
  <c r="B370" i="1"/>
  <c r="K369" i="1"/>
  <c r="I369" i="1"/>
  <c r="G369" i="1"/>
  <c r="F369" i="1"/>
  <c r="E369" i="1"/>
  <c r="C369" i="1"/>
  <c r="B369" i="1"/>
  <c r="K368" i="1"/>
  <c r="I368" i="1"/>
  <c r="G368" i="1"/>
  <c r="F368" i="1"/>
  <c r="E368" i="1"/>
  <c r="C368" i="1"/>
  <c r="B368" i="1"/>
  <c r="K367" i="1"/>
  <c r="I367" i="1"/>
  <c r="G367" i="1"/>
  <c r="F367" i="1"/>
  <c r="E367" i="1"/>
  <c r="C367" i="1"/>
  <c r="B367" i="1"/>
  <c r="K366" i="1"/>
  <c r="I366" i="1"/>
  <c r="G366" i="1"/>
  <c r="F366" i="1"/>
  <c r="E366" i="1"/>
  <c r="C366" i="1"/>
  <c r="B366" i="1"/>
  <c r="K365" i="1"/>
  <c r="I365" i="1"/>
  <c r="G365" i="1"/>
  <c r="F365" i="1"/>
  <c r="E365" i="1"/>
  <c r="C365" i="1"/>
  <c r="B365" i="1"/>
  <c r="K364" i="1"/>
  <c r="I364" i="1"/>
  <c r="G364" i="1"/>
  <c r="F364" i="1"/>
  <c r="E364" i="1"/>
  <c r="C364" i="1"/>
  <c r="B364" i="1"/>
  <c r="K363" i="1"/>
  <c r="I363" i="1"/>
  <c r="G363" i="1"/>
  <c r="F363" i="1"/>
  <c r="E363" i="1"/>
  <c r="C363" i="1"/>
  <c r="B363" i="1"/>
  <c r="K362" i="1"/>
  <c r="I362" i="1"/>
  <c r="G362" i="1"/>
  <c r="F362" i="1"/>
  <c r="E362" i="1"/>
  <c r="C362" i="1"/>
  <c r="B362" i="1"/>
  <c r="K361" i="1"/>
  <c r="I361" i="1"/>
  <c r="G361" i="1"/>
  <c r="F361" i="1"/>
  <c r="E361" i="1"/>
  <c r="C361" i="1"/>
  <c r="B361" i="1"/>
  <c r="K360" i="1"/>
  <c r="I360" i="1"/>
  <c r="G360" i="1"/>
  <c r="F360" i="1"/>
  <c r="E360" i="1"/>
  <c r="C360" i="1"/>
  <c r="B360" i="1"/>
  <c r="K359" i="1"/>
  <c r="I359" i="1"/>
  <c r="G359" i="1"/>
  <c r="F359" i="1"/>
  <c r="E359" i="1"/>
  <c r="C359" i="1"/>
  <c r="B359" i="1"/>
  <c r="K358" i="1"/>
  <c r="I358" i="1"/>
  <c r="G358" i="1"/>
  <c r="F358" i="1"/>
  <c r="E358" i="1"/>
  <c r="C358" i="1"/>
  <c r="B358" i="1"/>
  <c r="K357" i="1"/>
  <c r="I357" i="1"/>
  <c r="G357" i="1"/>
  <c r="F357" i="1"/>
  <c r="E357" i="1"/>
  <c r="C357" i="1"/>
  <c r="B357" i="1"/>
  <c r="K356" i="1"/>
  <c r="I356" i="1"/>
  <c r="G356" i="1"/>
  <c r="F356" i="1"/>
  <c r="E356" i="1"/>
  <c r="C356" i="1"/>
  <c r="B356" i="1"/>
  <c r="K355" i="1"/>
  <c r="I355" i="1"/>
  <c r="G355" i="1"/>
  <c r="F355" i="1"/>
  <c r="E355" i="1"/>
  <c r="C355" i="1"/>
  <c r="B355" i="1"/>
  <c r="K354" i="1"/>
  <c r="I354" i="1"/>
  <c r="G354" i="1"/>
  <c r="F354" i="1"/>
  <c r="E354" i="1"/>
  <c r="C354" i="1"/>
  <c r="B354" i="1"/>
  <c r="K353" i="1"/>
  <c r="I353" i="1"/>
  <c r="G353" i="1"/>
  <c r="F353" i="1"/>
  <c r="E353" i="1"/>
  <c r="C353" i="1"/>
  <c r="B353" i="1"/>
  <c r="K352" i="1"/>
  <c r="I352" i="1"/>
  <c r="G352" i="1"/>
  <c r="F352" i="1"/>
  <c r="E352" i="1"/>
  <c r="C352" i="1"/>
  <c r="B352" i="1"/>
  <c r="K351" i="1"/>
  <c r="I351" i="1"/>
  <c r="G351" i="1"/>
  <c r="F351" i="1"/>
  <c r="E351" i="1"/>
  <c r="C351" i="1"/>
  <c r="B351" i="1"/>
  <c r="K350" i="1"/>
  <c r="I350" i="1"/>
  <c r="G350" i="1"/>
  <c r="F350" i="1"/>
  <c r="E350" i="1"/>
  <c r="C350" i="1"/>
  <c r="B350" i="1"/>
  <c r="K349" i="1"/>
  <c r="I349" i="1"/>
  <c r="G349" i="1"/>
  <c r="F349" i="1"/>
  <c r="E349" i="1"/>
  <c r="C349" i="1"/>
  <c r="B349" i="1"/>
  <c r="K348" i="1"/>
  <c r="I348" i="1"/>
  <c r="G348" i="1"/>
  <c r="F348" i="1"/>
  <c r="E348" i="1"/>
  <c r="C348" i="1"/>
  <c r="B348" i="1"/>
  <c r="K347" i="1"/>
  <c r="I347" i="1"/>
  <c r="G347" i="1"/>
  <c r="F347" i="1"/>
  <c r="E347" i="1"/>
  <c r="C347" i="1"/>
  <c r="B347" i="1"/>
  <c r="K346" i="1"/>
  <c r="I346" i="1"/>
  <c r="G346" i="1"/>
  <c r="F346" i="1"/>
  <c r="E346" i="1"/>
  <c r="C346" i="1"/>
  <c r="B346" i="1"/>
  <c r="K345" i="1"/>
  <c r="I345" i="1"/>
  <c r="G345" i="1"/>
  <c r="F345" i="1"/>
  <c r="E345" i="1"/>
  <c r="C345" i="1"/>
  <c r="B345" i="1"/>
  <c r="K344" i="1"/>
  <c r="I344" i="1"/>
  <c r="G344" i="1"/>
  <c r="F344" i="1"/>
  <c r="E344" i="1"/>
  <c r="C344" i="1"/>
  <c r="B344" i="1"/>
  <c r="K343" i="1"/>
  <c r="I343" i="1"/>
  <c r="G343" i="1"/>
  <c r="F343" i="1"/>
  <c r="E343" i="1"/>
  <c r="C343" i="1"/>
  <c r="B343" i="1"/>
  <c r="K342" i="1"/>
  <c r="I342" i="1"/>
  <c r="G342" i="1"/>
  <c r="F342" i="1"/>
  <c r="E342" i="1"/>
  <c r="C342" i="1"/>
  <c r="B342" i="1"/>
  <c r="K341" i="1"/>
  <c r="I341" i="1"/>
  <c r="G341" i="1"/>
  <c r="F341" i="1"/>
  <c r="E341" i="1"/>
  <c r="C341" i="1"/>
  <c r="B341" i="1"/>
  <c r="K340" i="1"/>
  <c r="I340" i="1"/>
  <c r="G340" i="1"/>
  <c r="F340" i="1"/>
  <c r="E340" i="1"/>
  <c r="C340" i="1"/>
  <c r="B340" i="1"/>
  <c r="K339" i="1"/>
  <c r="I339" i="1"/>
  <c r="G339" i="1"/>
  <c r="F339" i="1"/>
  <c r="E339" i="1"/>
  <c r="C339" i="1"/>
  <c r="B339" i="1"/>
  <c r="K338" i="1"/>
  <c r="I338" i="1"/>
  <c r="G338" i="1"/>
  <c r="F338" i="1"/>
  <c r="E338" i="1"/>
  <c r="C338" i="1"/>
  <c r="B338" i="1"/>
  <c r="K337" i="1"/>
  <c r="I337" i="1"/>
  <c r="G337" i="1"/>
  <c r="F337" i="1"/>
  <c r="E337" i="1"/>
  <c r="C337" i="1"/>
  <c r="B337" i="1"/>
  <c r="K336" i="1"/>
  <c r="I336" i="1"/>
  <c r="G336" i="1"/>
  <c r="F336" i="1"/>
  <c r="E336" i="1"/>
  <c r="C336" i="1"/>
  <c r="B336" i="1"/>
  <c r="K335" i="1"/>
  <c r="I335" i="1"/>
  <c r="G335" i="1"/>
  <c r="F335" i="1"/>
  <c r="E335" i="1"/>
  <c r="C335" i="1"/>
  <c r="B335" i="1"/>
  <c r="K334" i="1"/>
  <c r="I334" i="1"/>
  <c r="G334" i="1"/>
  <c r="F334" i="1"/>
  <c r="E334" i="1"/>
  <c r="C334" i="1"/>
  <c r="B334" i="1"/>
  <c r="K333" i="1"/>
  <c r="I333" i="1"/>
  <c r="G333" i="1"/>
  <c r="F333" i="1"/>
  <c r="E333" i="1"/>
  <c r="C333" i="1"/>
  <c r="B333" i="1"/>
  <c r="K332" i="1"/>
  <c r="I332" i="1"/>
  <c r="G332" i="1"/>
  <c r="F332" i="1"/>
  <c r="E332" i="1"/>
  <c r="C332" i="1"/>
  <c r="B332" i="1"/>
  <c r="K331" i="1"/>
  <c r="I331" i="1"/>
  <c r="G331" i="1"/>
  <c r="F331" i="1"/>
  <c r="E331" i="1"/>
  <c r="C331" i="1"/>
  <c r="B331" i="1"/>
  <c r="K330" i="1"/>
  <c r="I330" i="1"/>
  <c r="G330" i="1"/>
  <c r="F330" i="1"/>
  <c r="E330" i="1"/>
  <c r="C330" i="1"/>
  <c r="B330" i="1"/>
  <c r="K329" i="1"/>
  <c r="I329" i="1"/>
  <c r="G329" i="1"/>
  <c r="F329" i="1"/>
  <c r="E329" i="1"/>
  <c r="C329" i="1"/>
  <c r="B329" i="1"/>
  <c r="K328" i="1"/>
  <c r="I328" i="1"/>
  <c r="G328" i="1"/>
  <c r="F328" i="1"/>
  <c r="E328" i="1"/>
  <c r="C328" i="1"/>
  <c r="B328" i="1"/>
  <c r="K327" i="1"/>
  <c r="I327" i="1"/>
  <c r="G327" i="1"/>
  <c r="F327" i="1"/>
  <c r="E327" i="1"/>
  <c r="C327" i="1"/>
  <c r="B327" i="1"/>
  <c r="K326" i="1"/>
  <c r="I326" i="1"/>
  <c r="G326" i="1"/>
  <c r="F326" i="1"/>
  <c r="E326" i="1"/>
  <c r="C326" i="1"/>
  <c r="B326" i="1"/>
  <c r="K325" i="1"/>
  <c r="I325" i="1"/>
  <c r="G325" i="1"/>
  <c r="F325" i="1"/>
  <c r="E325" i="1"/>
  <c r="C325" i="1"/>
  <c r="B325" i="1"/>
  <c r="K324" i="1"/>
  <c r="I324" i="1"/>
  <c r="G324" i="1"/>
  <c r="F324" i="1"/>
  <c r="E324" i="1"/>
  <c r="C324" i="1"/>
  <c r="B324" i="1"/>
  <c r="K323" i="1"/>
  <c r="I323" i="1"/>
  <c r="G323" i="1"/>
  <c r="F323" i="1"/>
  <c r="E323" i="1"/>
  <c r="C323" i="1"/>
  <c r="B323" i="1"/>
  <c r="K322" i="1"/>
  <c r="I322" i="1"/>
  <c r="G322" i="1"/>
  <c r="F322" i="1"/>
  <c r="E322" i="1"/>
  <c r="C322" i="1"/>
  <c r="B322" i="1"/>
  <c r="K321" i="1"/>
  <c r="I321" i="1"/>
  <c r="G321" i="1"/>
  <c r="F321" i="1"/>
  <c r="E321" i="1"/>
  <c r="C321" i="1"/>
  <c r="B321" i="1"/>
  <c r="K320" i="1"/>
  <c r="I320" i="1"/>
  <c r="G320" i="1"/>
  <c r="F320" i="1"/>
  <c r="E320" i="1"/>
  <c r="C320" i="1"/>
  <c r="B320" i="1"/>
  <c r="K319" i="1"/>
  <c r="I319" i="1"/>
  <c r="G319" i="1"/>
  <c r="F319" i="1"/>
  <c r="E319" i="1"/>
  <c r="C319" i="1"/>
  <c r="B319" i="1"/>
  <c r="K318" i="1"/>
  <c r="I318" i="1"/>
  <c r="G318" i="1"/>
  <c r="F318" i="1"/>
  <c r="E318" i="1"/>
  <c r="C318" i="1"/>
  <c r="B318" i="1"/>
  <c r="K317" i="1"/>
  <c r="I317" i="1"/>
  <c r="G317" i="1"/>
  <c r="F317" i="1"/>
  <c r="E317" i="1"/>
  <c r="C317" i="1"/>
  <c r="B317" i="1"/>
  <c r="K316" i="1"/>
  <c r="I316" i="1"/>
  <c r="G316" i="1"/>
  <c r="F316" i="1"/>
  <c r="E316" i="1"/>
  <c r="C316" i="1"/>
  <c r="B316" i="1"/>
  <c r="K315" i="1"/>
  <c r="I315" i="1"/>
  <c r="G315" i="1"/>
  <c r="F315" i="1"/>
  <c r="E315" i="1"/>
  <c r="C315" i="1"/>
  <c r="B315" i="1"/>
  <c r="K314" i="1"/>
  <c r="I314" i="1"/>
  <c r="G314" i="1"/>
  <c r="F314" i="1"/>
  <c r="E314" i="1"/>
  <c r="C314" i="1"/>
  <c r="B314" i="1"/>
  <c r="K313" i="1"/>
  <c r="I313" i="1"/>
  <c r="G313" i="1"/>
  <c r="F313" i="1"/>
  <c r="E313" i="1"/>
  <c r="C313" i="1"/>
  <c r="B313" i="1"/>
  <c r="K312" i="1"/>
  <c r="I312" i="1"/>
  <c r="G312" i="1"/>
  <c r="F312" i="1"/>
  <c r="E312" i="1"/>
  <c r="C312" i="1"/>
  <c r="B312" i="1"/>
  <c r="K311" i="1"/>
  <c r="I311" i="1"/>
  <c r="G311" i="1"/>
  <c r="F311" i="1"/>
  <c r="E311" i="1"/>
  <c r="C311" i="1"/>
  <c r="B311" i="1"/>
  <c r="K310" i="1"/>
  <c r="I310" i="1"/>
  <c r="G310" i="1"/>
  <c r="F310" i="1"/>
  <c r="E310" i="1"/>
  <c r="C310" i="1"/>
  <c r="B310" i="1"/>
  <c r="K309" i="1"/>
  <c r="I309" i="1"/>
  <c r="G309" i="1"/>
  <c r="F309" i="1"/>
  <c r="E309" i="1"/>
  <c r="C309" i="1"/>
  <c r="B309" i="1"/>
  <c r="K308" i="1"/>
  <c r="I308" i="1"/>
  <c r="G308" i="1"/>
  <c r="F308" i="1"/>
  <c r="E308" i="1"/>
  <c r="C308" i="1"/>
  <c r="B308" i="1"/>
  <c r="K307" i="1"/>
  <c r="I307" i="1"/>
  <c r="G307" i="1"/>
  <c r="F307" i="1"/>
  <c r="E307" i="1"/>
  <c r="C307" i="1"/>
  <c r="B307" i="1"/>
  <c r="K306" i="1"/>
  <c r="I306" i="1"/>
  <c r="G306" i="1"/>
  <c r="F306" i="1"/>
  <c r="E306" i="1"/>
  <c r="C306" i="1"/>
  <c r="B306" i="1"/>
  <c r="K305" i="1"/>
  <c r="I305" i="1"/>
  <c r="G305" i="1"/>
  <c r="F305" i="1"/>
  <c r="E305" i="1"/>
  <c r="C305" i="1"/>
  <c r="B305" i="1"/>
  <c r="K304" i="1"/>
  <c r="I304" i="1"/>
  <c r="G304" i="1"/>
  <c r="F304" i="1"/>
  <c r="E304" i="1"/>
  <c r="C304" i="1"/>
  <c r="B304" i="1"/>
  <c r="K303" i="1"/>
  <c r="I303" i="1"/>
  <c r="G303" i="1"/>
  <c r="F303" i="1"/>
  <c r="E303" i="1"/>
  <c r="C303" i="1"/>
  <c r="B303" i="1"/>
  <c r="K302" i="1"/>
  <c r="I302" i="1"/>
  <c r="G302" i="1"/>
  <c r="F302" i="1"/>
  <c r="E302" i="1"/>
  <c r="C302" i="1"/>
  <c r="B302" i="1"/>
  <c r="K301" i="1"/>
  <c r="I301" i="1"/>
  <c r="G301" i="1"/>
  <c r="F301" i="1"/>
  <c r="E301" i="1"/>
  <c r="C301" i="1"/>
  <c r="B301" i="1"/>
  <c r="K300" i="1"/>
  <c r="I300" i="1"/>
  <c r="G300" i="1"/>
  <c r="F300" i="1"/>
  <c r="E300" i="1"/>
  <c r="C300" i="1"/>
  <c r="B300" i="1"/>
  <c r="K299" i="1"/>
  <c r="I299" i="1"/>
  <c r="G299" i="1"/>
  <c r="F299" i="1"/>
  <c r="E299" i="1"/>
  <c r="C299" i="1"/>
  <c r="B299" i="1"/>
  <c r="K298" i="1"/>
  <c r="I298" i="1"/>
  <c r="G298" i="1"/>
  <c r="F298" i="1"/>
  <c r="E298" i="1"/>
  <c r="C298" i="1"/>
  <c r="B298" i="1"/>
  <c r="K297" i="1"/>
  <c r="I297" i="1"/>
  <c r="G297" i="1"/>
  <c r="F297" i="1"/>
  <c r="E297" i="1"/>
  <c r="C297" i="1"/>
  <c r="B297" i="1"/>
  <c r="K296" i="1"/>
  <c r="I296" i="1"/>
  <c r="G296" i="1"/>
  <c r="F296" i="1"/>
  <c r="E296" i="1"/>
  <c r="C296" i="1"/>
  <c r="B296" i="1"/>
  <c r="K295" i="1"/>
  <c r="I295" i="1"/>
  <c r="G295" i="1"/>
  <c r="F295" i="1"/>
  <c r="E295" i="1"/>
  <c r="C295" i="1"/>
  <c r="B295" i="1"/>
  <c r="K294" i="1"/>
  <c r="I294" i="1"/>
  <c r="G294" i="1"/>
  <c r="F294" i="1"/>
  <c r="E294" i="1"/>
  <c r="C294" i="1"/>
  <c r="B294" i="1"/>
  <c r="K293" i="1"/>
  <c r="I293" i="1"/>
  <c r="G293" i="1"/>
  <c r="F293" i="1"/>
  <c r="E293" i="1"/>
  <c r="C293" i="1"/>
  <c r="B293" i="1"/>
  <c r="K292" i="1"/>
  <c r="I292" i="1"/>
  <c r="G292" i="1"/>
  <c r="F292" i="1"/>
  <c r="E292" i="1"/>
  <c r="C292" i="1"/>
  <c r="B292" i="1"/>
  <c r="K291" i="1"/>
  <c r="I291" i="1"/>
  <c r="G291" i="1"/>
  <c r="F291" i="1"/>
  <c r="E291" i="1"/>
  <c r="C291" i="1"/>
  <c r="B291" i="1"/>
  <c r="K290" i="1"/>
  <c r="I290" i="1"/>
  <c r="G290" i="1"/>
  <c r="F290" i="1"/>
  <c r="E290" i="1"/>
  <c r="C290" i="1"/>
  <c r="B290" i="1"/>
  <c r="K289" i="1"/>
  <c r="I289" i="1"/>
  <c r="G289" i="1"/>
  <c r="F289" i="1"/>
  <c r="E289" i="1"/>
  <c r="C289" i="1"/>
  <c r="B289" i="1"/>
  <c r="K288" i="1"/>
  <c r="I288" i="1"/>
  <c r="G288" i="1"/>
  <c r="F288" i="1"/>
  <c r="E288" i="1"/>
  <c r="C288" i="1"/>
  <c r="B288" i="1"/>
  <c r="K287" i="1"/>
  <c r="I287" i="1"/>
  <c r="G287" i="1"/>
  <c r="F287" i="1"/>
  <c r="E287" i="1"/>
  <c r="C287" i="1"/>
  <c r="B287" i="1"/>
  <c r="K286" i="1"/>
  <c r="I286" i="1"/>
  <c r="G286" i="1"/>
  <c r="F286" i="1"/>
  <c r="E286" i="1"/>
  <c r="C286" i="1"/>
  <c r="B286" i="1"/>
  <c r="K285" i="1"/>
  <c r="I285" i="1"/>
  <c r="G285" i="1"/>
  <c r="F285" i="1"/>
  <c r="E285" i="1"/>
  <c r="C285" i="1"/>
  <c r="B285" i="1"/>
  <c r="K284" i="1"/>
  <c r="I284" i="1"/>
  <c r="G284" i="1"/>
  <c r="F284" i="1"/>
  <c r="E284" i="1"/>
  <c r="C284" i="1"/>
  <c r="B284" i="1"/>
  <c r="K283" i="1"/>
  <c r="I283" i="1"/>
  <c r="G283" i="1"/>
  <c r="F283" i="1"/>
  <c r="E283" i="1"/>
  <c r="C283" i="1"/>
  <c r="B283" i="1"/>
  <c r="K282" i="1"/>
  <c r="I282" i="1"/>
  <c r="G282" i="1"/>
  <c r="F282" i="1"/>
  <c r="E282" i="1"/>
  <c r="C282" i="1"/>
  <c r="B282" i="1"/>
  <c r="K281" i="1"/>
  <c r="I281" i="1"/>
  <c r="G281" i="1"/>
  <c r="F281" i="1"/>
  <c r="E281" i="1"/>
  <c r="C281" i="1"/>
  <c r="B281" i="1"/>
  <c r="K280" i="1"/>
  <c r="I280" i="1"/>
  <c r="G280" i="1"/>
  <c r="F280" i="1"/>
  <c r="E280" i="1"/>
  <c r="C280" i="1"/>
  <c r="B280" i="1"/>
  <c r="K279" i="1"/>
  <c r="I279" i="1"/>
  <c r="G279" i="1"/>
  <c r="F279" i="1"/>
  <c r="E279" i="1"/>
  <c r="C279" i="1"/>
  <c r="B279" i="1"/>
  <c r="K278" i="1"/>
  <c r="I278" i="1"/>
  <c r="G278" i="1"/>
  <c r="F278" i="1"/>
  <c r="E278" i="1"/>
  <c r="C278" i="1"/>
  <c r="B278" i="1"/>
  <c r="K277" i="1"/>
  <c r="I277" i="1"/>
  <c r="G277" i="1"/>
  <c r="F277" i="1"/>
  <c r="E277" i="1"/>
  <c r="C277" i="1"/>
  <c r="B277" i="1"/>
  <c r="K276" i="1"/>
  <c r="I276" i="1"/>
  <c r="G276" i="1"/>
  <c r="F276" i="1"/>
  <c r="E276" i="1"/>
  <c r="C276" i="1"/>
  <c r="B276" i="1"/>
  <c r="K275" i="1"/>
  <c r="I275" i="1"/>
  <c r="G275" i="1"/>
  <c r="F275" i="1"/>
  <c r="E275" i="1"/>
  <c r="C275" i="1"/>
  <c r="B275" i="1"/>
  <c r="K274" i="1"/>
  <c r="I274" i="1"/>
  <c r="G274" i="1"/>
  <c r="F274" i="1"/>
  <c r="E274" i="1"/>
  <c r="C274" i="1"/>
  <c r="B274" i="1"/>
  <c r="K273" i="1"/>
  <c r="I273" i="1"/>
  <c r="G273" i="1"/>
  <c r="F273" i="1"/>
  <c r="E273" i="1"/>
  <c r="C273" i="1"/>
  <c r="B273" i="1"/>
  <c r="K272" i="1"/>
  <c r="I272" i="1"/>
  <c r="G272" i="1"/>
  <c r="F272" i="1"/>
  <c r="E272" i="1"/>
  <c r="C272" i="1"/>
  <c r="B272" i="1"/>
  <c r="K271" i="1"/>
  <c r="I271" i="1"/>
  <c r="G271" i="1"/>
  <c r="F271" i="1"/>
  <c r="E271" i="1"/>
  <c r="C271" i="1"/>
  <c r="B271" i="1"/>
  <c r="K270" i="1"/>
  <c r="I270" i="1"/>
  <c r="G270" i="1"/>
  <c r="F270" i="1"/>
  <c r="E270" i="1"/>
  <c r="C270" i="1"/>
  <c r="B270" i="1"/>
  <c r="K269" i="1"/>
  <c r="I269" i="1"/>
  <c r="G269" i="1"/>
  <c r="F269" i="1"/>
  <c r="E269" i="1"/>
  <c r="C269" i="1"/>
  <c r="B269" i="1"/>
  <c r="K268" i="1"/>
  <c r="I268" i="1"/>
  <c r="G268" i="1"/>
  <c r="F268" i="1"/>
  <c r="E268" i="1"/>
  <c r="C268" i="1"/>
  <c r="B268" i="1"/>
  <c r="K267" i="1"/>
  <c r="I267" i="1"/>
  <c r="G267" i="1"/>
  <c r="F267" i="1"/>
  <c r="E267" i="1"/>
  <c r="C267" i="1"/>
  <c r="B267" i="1"/>
  <c r="K266" i="1"/>
  <c r="I266" i="1"/>
  <c r="G266" i="1"/>
  <c r="F266" i="1"/>
  <c r="E266" i="1"/>
  <c r="C266" i="1"/>
  <c r="B266" i="1"/>
  <c r="K265" i="1"/>
  <c r="I265" i="1"/>
  <c r="G265" i="1"/>
  <c r="F265" i="1"/>
  <c r="E265" i="1"/>
  <c r="C265" i="1"/>
  <c r="B265" i="1"/>
  <c r="K264" i="1"/>
  <c r="I264" i="1"/>
  <c r="G264" i="1"/>
  <c r="F264" i="1"/>
  <c r="E264" i="1"/>
  <c r="C264" i="1"/>
  <c r="B264" i="1"/>
  <c r="K263" i="1"/>
  <c r="I263" i="1"/>
  <c r="G263" i="1"/>
  <c r="F263" i="1"/>
  <c r="E263" i="1"/>
  <c r="C263" i="1"/>
  <c r="B263" i="1"/>
  <c r="K262" i="1"/>
  <c r="I262" i="1"/>
  <c r="G262" i="1"/>
  <c r="F262" i="1"/>
  <c r="E262" i="1"/>
  <c r="C262" i="1"/>
  <c r="B262" i="1"/>
  <c r="K261" i="1"/>
  <c r="I261" i="1"/>
  <c r="G261" i="1"/>
  <c r="F261" i="1"/>
  <c r="E261" i="1"/>
  <c r="C261" i="1"/>
  <c r="B261" i="1"/>
  <c r="K260" i="1"/>
  <c r="I260" i="1"/>
  <c r="G260" i="1"/>
  <c r="F260" i="1"/>
  <c r="E260" i="1"/>
  <c r="C260" i="1"/>
  <c r="B260" i="1"/>
  <c r="K259" i="1"/>
  <c r="I259" i="1"/>
  <c r="G259" i="1"/>
  <c r="F259" i="1"/>
  <c r="E259" i="1"/>
  <c r="C259" i="1"/>
  <c r="B259" i="1"/>
  <c r="K258" i="1"/>
  <c r="I258" i="1"/>
  <c r="G258" i="1"/>
  <c r="F258" i="1"/>
  <c r="E258" i="1"/>
  <c r="C258" i="1"/>
  <c r="B258" i="1"/>
  <c r="K257" i="1"/>
  <c r="I257" i="1"/>
  <c r="G257" i="1"/>
  <c r="F257" i="1"/>
  <c r="E257" i="1"/>
  <c r="C257" i="1"/>
  <c r="B257" i="1"/>
  <c r="K256" i="1"/>
  <c r="I256" i="1"/>
  <c r="G256" i="1"/>
  <c r="F256" i="1"/>
  <c r="E256" i="1"/>
  <c r="C256" i="1"/>
  <c r="B256" i="1"/>
  <c r="K255" i="1"/>
  <c r="I255" i="1"/>
  <c r="G255" i="1"/>
  <c r="F255" i="1"/>
  <c r="E255" i="1"/>
  <c r="C255" i="1"/>
  <c r="B255" i="1"/>
  <c r="K254" i="1"/>
  <c r="I254" i="1"/>
  <c r="G254" i="1"/>
  <c r="F254" i="1"/>
  <c r="E254" i="1"/>
  <c r="C254" i="1"/>
  <c r="B254" i="1"/>
  <c r="K253" i="1"/>
  <c r="I253" i="1"/>
  <c r="G253" i="1"/>
  <c r="F253" i="1"/>
  <c r="E253" i="1"/>
  <c r="C253" i="1"/>
  <c r="B253" i="1"/>
  <c r="K252" i="1"/>
  <c r="I252" i="1"/>
  <c r="G252" i="1"/>
  <c r="F252" i="1"/>
  <c r="E252" i="1"/>
  <c r="C252" i="1"/>
  <c r="B252" i="1"/>
  <c r="K251" i="1"/>
  <c r="I251" i="1"/>
  <c r="G251" i="1"/>
  <c r="F251" i="1"/>
  <c r="E251" i="1"/>
  <c r="C251" i="1"/>
  <c r="B251" i="1"/>
  <c r="K250" i="1"/>
  <c r="I250" i="1"/>
  <c r="G250" i="1"/>
  <c r="F250" i="1"/>
  <c r="E250" i="1"/>
  <c r="C250" i="1"/>
  <c r="B250" i="1"/>
  <c r="K249" i="1"/>
  <c r="I249" i="1"/>
  <c r="G249" i="1"/>
  <c r="F249" i="1"/>
  <c r="E249" i="1"/>
  <c r="C249" i="1"/>
  <c r="B249" i="1"/>
  <c r="K248" i="1"/>
  <c r="I248" i="1"/>
  <c r="G248" i="1"/>
  <c r="F248" i="1"/>
  <c r="E248" i="1"/>
  <c r="C248" i="1"/>
  <c r="B248" i="1"/>
  <c r="K247" i="1"/>
  <c r="I247" i="1"/>
  <c r="G247" i="1"/>
  <c r="F247" i="1"/>
  <c r="E247" i="1"/>
  <c r="C247" i="1"/>
  <c r="B247" i="1"/>
  <c r="K246" i="1"/>
  <c r="I246" i="1"/>
  <c r="G246" i="1"/>
  <c r="F246" i="1"/>
  <c r="E246" i="1"/>
  <c r="C246" i="1"/>
  <c r="B246" i="1"/>
  <c r="K245" i="1"/>
  <c r="I245" i="1"/>
  <c r="G245" i="1"/>
  <c r="F245" i="1"/>
  <c r="E245" i="1"/>
  <c r="C245" i="1"/>
  <c r="B245" i="1"/>
  <c r="K244" i="1"/>
  <c r="I244" i="1"/>
  <c r="G244" i="1"/>
  <c r="F244" i="1"/>
  <c r="E244" i="1"/>
  <c r="C244" i="1"/>
  <c r="B244" i="1"/>
  <c r="K243" i="1"/>
  <c r="I243" i="1"/>
  <c r="G243" i="1"/>
  <c r="F243" i="1"/>
  <c r="E243" i="1"/>
  <c r="C243" i="1"/>
  <c r="B243" i="1"/>
  <c r="K242" i="1"/>
  <c r="I242" i="1"/>
  <c r="G242" i="1"/>
  <c r="F242" i="1"/>
  <c r="E242" i="1"/>
  <c r="C242" i="1"/>
  <c r="B242" i="1"/>
  <c r="K241" i="1"/>
  <c r="I241" i="1"/>
  <c r="G241" i="1"/>
  <c r="F241" i="1"/>
  <c r="E241" i="1"/>
  <c r="C241" i="1"/>
  <c r="B241" i="1"/>
  <c r="K240" i="1"/>
  <c r="I240" i="1"/>
  <c r="G240" i="1"/>
  <c r="F240" i="1"/>
  <c r="E240" i="1"/>
  <c r="C240" i="1"/>
  <c r="B240" i="1"/>
  <c r="K239" i="1"/>
  <c r="I239" i="1"/>
  <c r="G239" i="1"/>
  <c r="F239" i="1"/>
  <c r="E239" i="1"/>
  <c r="C239" i="1"/>
  <c r="B239" i="1"/>
  <c r="K238" i="1"/>
  <c r="I238" i="1"/>
  <c r="G238" i="1"/>
  <c r="F238" i="1"/>
  <c r="E238" i="1"/>
  <c r="C238" i="1"/>
  <c r="B238" i="1"/>
  <c r="K237" i="1"/>
  <c r="I237" i="1"/>
  <c r="G237" i="1"/>
  <c r="F237" i="1"/>
  <c r="E237" i="1"/>
  <c r="C237" i="1"/>
  <c r="B237" i="1"/>
  <c r="K236" i="1"/>
  <c r="I236" i="1"/>
  <c r="G236" i="1"/>
  <c r="F236" i="1"/>
  <c r="E236" i="1"/>
  <c r="C236" i="1"/>
  <c r="B236" i="1"/>
  <c r="K235" i="1"/>
  <c r="I235" i="1"/>
  <c r="G235" i="1"/>
  <c r="F235" i="1"/>
  <c r="E235" i="1"/>
  <c r="C235" i="1"/>
  <c r="B235" i="1"/>
  <c r="K234" i="1"/>
  <c r="I234" i="1"/>
  <c r="G234" i="1"/>
  <c r="F234" i="1"/>
  <c r="E234" i="1"/>
  <c r="C234" i="1"/>
  <c r="B234" i="1"/>
  <c r="K233" i="1"/>
  <c r="I233" i="1"/>
  <c r="G233" i="1"/>
  <c r="F233" i="1"/>
  <c r="E233" i="1"/>
  <c r="C233" i="1"/>
  <c r="B233" i="1"/>
  <c r="K232" i="1"/>
  <c r="I232" i="1"/>
  <c r="G232" i="1"/>
  <c r="F232" i="1"/>
  <c r="E232" i="1"/>
  <c r="C232" i="1"/>
  <c r="B232" i="1"/>
  <c r="K231" i="1"/>
  <c r="I231" i="1"/>
  <c r="G231" i="1"/>
  <c r="F231" i="1"/>
  <c r="E231" i="1"/>
  <c r="C231" i="1"/>
  <c r="B231" i="1"/>
  <c r="K230" i="1"/>
  <c r="I230" i="1"/>
  <c r="G230" i="1"/>
  <c r="F230" i="1"/>
  <c r="E230" i="1"/>
  <c r="C230" i="1"/>
  <c r="B230" i="1"/>
  <c r="K229" i="1"/>
  <c r="I229" i="1"/>
  <c r="G229" i="1"/>
  <c r="F229" i="1"/>
  <c r="E229" i="1"/>
  <c r="C229" i="1"/>
  <c r="B229" i="1"/>
  <c r="K228" i="1"/>
  <c r="I228" i="1"/>
  <c r="G228" i="1"/>
  <c r="F228" i="1"/>
  <c r="E228" i="1"/>
  <c r="C228" i="1"/>
  <c r="B228" i="1"/>
  <c r="K227" i="1"/>
  <c r="I227" i="1"/>
  <c r="G227" i="1"/>
  <c r="F227" i="1"/>
  <c r="E227" i="1"/>
  <c r="C227" i="1"/>
  <c r="B227" i="1"/>
  <c r="K226" i="1"/>
  <c r="I226" i="1"/>
  <c r="G226" i="1"/>
  <c r="F226" i="1"/>
  <c r="E226" i="1"/>
  <c r="C226" i="1"/>
  <c r="B226" i="1"/>
  <c r="K225" i="1"/>
  <c r="I225" i="1"/>
  <c r="G225" i="1"/>
  <c r="F225" i="1"/>
  <c r="E225" i="1"/>
  <c r="C225" i="1"/>
  <c r="B225" i="1"/>
  <c r="K224" i="1"/>
  <c r="I224" i="1"/>
  <c r="G224" i="1"/>
  <c r="F224" i="1"/>
  <c r="E224" i="1"/>
  <c r="C224" i="1"/>
  <c r="B224" i="1"/>
  <c r="K223" i="1"/>
  <c r="I223" i="1"/>
  <c r="G223" i="1"/>
  <c r="F223" i="1"/>
  <c r="E223" i="1"/>
  <c r="C223" i="1"/>
  <c r="B223" i="1"/>
  <c r="K222" i="1"/>
  <c r="I222" i="1"/>
  <c r="G222" i="1"/>
  <c r="F222" i="1"/>
  <c r="E222" i="1"/>
  <c r="C222" i="1"/>
  <c r="B222" i="1"/>
  <c r="K221" i="1"/>
  <c r="I221" i="1"/>
  <c r="G221" i="1"/>
  <c r="F221" i="1"/>
  <c r="E221" i="1"/>
  <c r="C221" i="1"/>
  <c r="B221" i="1"/>
  <c r="K220" i="1"/>
  <c r="I220" i="1"/>
  <c r="G220" i="1"/>
  <c r="F220" i="1"/>
  <c r="E220" i="1"/>
  <c r="C220" i="1"/>
  <c r="B220" i="1"/>
  <c r="K219" i="1"/>
  <c r="I219" i="1"/>
  <c r="G219" i="1"/>
  <c r="F219" i="1"/>
  <c r="E219" i="1"/>
  <c r="C219" i="1"/>
  <c r="B219" i="1"/>
  <c r="K218" i="1"/>
  <c r="I218" i="1"/>
  <c r="G218" i="1"/>
  <c r="F218" i="1"/>
  <c r="E218" i="1"/>
  <c r="C218" i="1"/>
  <c r="B218" i="1"/>
  <c r="K217" i="1"/>
  <c r="I217" i="1"/>
  <c r="G217" i="1"/>
  <c r="F217" i="1"/>
  <c r="E217" i="1"/>
  <c r="C217" i="1"/>
  <c r="B217" i="1"/>
  <c r="K216" i="1"/>
  <c r="I216" i="1"/>
  <c r="G216" i="1"/>
  <c r="F216" i="1"/>
  <c r="E216" i="1"/>
  <c r="C216" i="1"/>
  <c r="B216" i="1"/>
  <c r="K215" i="1"/>
  <c r="I215" i="1"/>
  <c r="G215" i="1"/>
  <c r="F215" i="1"/>
  <c r="E215" i="1"/>
  <c r="C215" i="1"/>
  <c r="B215" i="1"/>
  <c r="K214" i="1"/>
  <c r="I214" i="1"/>
  <c r="G214" i="1"/>
  <c r="F214" i="1"/>
  <c r="E214" i="1"/>
  <c r="C214" i="1"/>
  <c r="B214" i="1"/>
  <c r="K213" i="1"/>
  <c r="I213" i="1"/>
  <c r="G213" i="1"/>
  <c r="F213" i="1"/>
  <c r="E213" i="1"/>
  <c r="C213" i="1"/>
  <c r="B213" i="1"/>
  <c r="K212" i="1"/>
  <c r="I212" i="1"/>
  <c r="G212" i="1"/>
  <c r="F212" i="1"/>
  <c r="E212" i="1"/>
  <c r="C212" i="1"/>
  <c r="B212" i="1"/>
  <c r="K211" i="1"/>
  <c r="I211" i="1"/>
  <c r="G211" i="1"/>
  <c r="F211" i="1"/>
  <c r="E211" i="1"/>
  <c r="C211" i="1"/>
  <c r="B211" i="1"/>
  <c r="K210" i="1"/>
  <c r="I210" i="1"/>
  <c r="G210" i="1"/>
  <c r="F210" i="1"/>
  <c r="E210" i="1"/>
  <c r="C210" i="1"/>
  <c r="B210" i="1"/>
  <c r="K209" i="1"/>
  <c r="I209" i="1"/>
  <c r="G209" i="1"/>
  <c r="F209" i="1"/>
  <c r="E209" i="1"/>
  <c r="C209" i="1"/>
  <c r="B209" i="1"/>
  <c r="K208" i="1"/>
  <c r="I208" i="1"/>
  <c r="G208" i="1"/>
  <c r="F208" i="1"/>
  <c r="E208" i="1"/>
  <c r="C208" i="1"/>
  <c r="B208" i="1"/>
  <c r="K207" i="1"/>
  <c r="I207" i="1"/>
  <c r="G207" i="1"/>
  <c r="F207" i="1"/>
  <c r="E207" i="1"/>
  <c r="C207" i="1"/>
  <c r="B207" i="1"/>
  <c r="K206" i="1"/>
  <c r="I206" i="1"/>
  <c r="G206" i="1"/>
  <c r="F206" i="1"/>
  <c r="E206" i="1"/>
  <c r="C206" i="1"/>
  <c r="B206" i="1"/>
  <c r="K205" i="1"/>
  <c r="I205" i="1"/>
  <c r="G205" i="1"/>
  <c r="F205" i="1"/>
  <c r="E205" i="1"/>
  <c r="C205" i="1"/>
  <c r="B205" i="1"/>
  <c r="K204" i="1"/>
  <c r="I204" i="1"/>
  <c r="G204" i="1"/>
  <c r="F204" i="1"/>
  <c r="E204" i="1"/>
  <c r="C204" i="1"/>
  <c r="B204" i="1"/>
  <c r="K203" i="1"/>
  <c r="I203" i="1"/>
  <c r="G203" i="1"/>
  <c r="F203" i="1"/>
  <c r="E203" i="1"/>
  <c r="C203" i="1"/>
  <c r="B203" i="1"/>
  <c r="K202" i="1"/>
  <c r="I202" i="1"/>
  <c r="G202" i="1"/>
  <c r="F202" i="1"/>
  <c r="E202" i="1"/>
  <c r="C202" i="1"/>
  <c r="B202" i="1"/>
  <c r="K201" i="1"/>
  <c r="I201" i="1"/>
  <c r="G201" i="1"/>
  <c r="F201" i="1"/>
  <c r="E201" i="1"/>
  <c r="C201" i="1"/>
  <c r="B201" i="1"/>
  <c r="K200" i="1"/>
  <c r="I200" i="1"/>
  <c r="G200" i="1"/>
  <c r="F200" i="1"/>
  <c r="E200" i="1"/>
  <c r="C200" i="1"/>
  <c r="B200" i="1"/>
  <c r="K199" i="1"/>
  <c r="I199" i="1"/>
  <c r="G199" i="1"/>
  <c r="F199" i="1"/>
  <c r="E199" i="1"/>
  <c r="C199" i="1"/>
  <c r="B199" i="1"/>
  <c r="K198" i="1"/>
  <c r="I198" i="1"/>
  <c r="G198" i="1"/>
  <c r="F198" i="1"/>
  <c r="E198" i="1"/>
  <c r="C198" i="1"/>
  <c r="B198" i="1"/>
  <c r="K197" i="1"/>
  <c r="I197" i="1"/>
  <c r="G197" i="1"/>
  <c r="F197" i="1"/>
  <c r="E197" i="1"/>
  <c r="C197" i="1"/>
  <c r="B197" i="1"/>
  <c r="K196" i="1"/>
  <c r="I196" i="1"/>
  <c r="G196" i="1"/>
  <c r="F196" i="1"/>
  <c r="E196" i="1"/>
  <c r="C196" i="1"/>
  <c r="B196" i="1"/>
  <c r="K195" i="1"/>
  <c r="I195" i="1"/>
  <c r="G195" i="1"/>
  <c r="F195" i="1"/>
  <c r="E195" i="1"/>
  <c r="C195" i="1"/>
  <c r="B195" i="1"/>
  <c r="K194" i="1"/>
  <c r="I194" i="1"/>
  <c r="G194" i="1"/>
  <c r="F194" i="1"/>
  <c r="E194" i="1"/>
  <c r="C194" i="1"/>
  <c r="B194" i="1"/>
  <c r="K193" i="1"/>
  <c r="I193" i="1"/>
  <c r="G193" i="1"/>
  <c r="F193" i="1"/>
  <c r="E193" i="1"/>
  <c r="C193" i="1"/>
  <c r="B193" i="1"/>
  <c r="K192" i="1"/>
  <c r="I192" i="1"/>
  <c r="G192" i="1"/>
  <c r="F192" i="1"/>
  <c r="E192" i="1"/>
  <c r="C192" i="1"/>
  <c r="B192" i="1"/>
  <c r="K191" i="1"/>
  <c r="I191" i="1"/>
  <c r="G191" i="1"/>
  <c r="F191" i="1"/>
  <c r="E191" i="1"/>
  <c r="C191" i="1"/>
  <c r="B191" i="1"/>
  <c r="K190" i="1"/>
  <c r="I190" i="1"/>
  <c r="G190" i="1"/>
  <c r="F190" i="1"/>
  <c r="E190" i="1"/>
  <c r="C190" i="1"/>
  <c r="B190" i="1"/>
  <c r="K189" i="1"/>
  <c r="I189" i="1"/>
  <c r="G189" i="1"/>
  <c r="F189" i="1"/>
  <c r="E189" i="1"/>
  <c r="C189" i="1"/>
  <c r="B189" i="1"/>
  <c r="K188" i="1"/>
  <c r="I188" i="1"/>
  <c r="G188" i="1"/>
  <c r="F188" i="1"/>
  <c r="E188" i="1"/>
  <c r="C188" i="1"/>
  <c r="B188" i="1"/>
  <c r="K187" i="1"/>
  <c r="I187" i="1"/>
  <c r="G187" i="1"/>
  <c r="F187" i="1"/>
  <c r="E187" i="1"/>
  <c r="C187" i="1"/>
  <c r="B187" i="1"/>
  <c r="K186" i="1"/>
  <c r="I186" i="1"/>
  <c r="G186" i="1"/>
  <c r="F186" i="1"/>
  <c r="E186" i="1"/>
  <c r="C186" i="1"/>
  <c r="B186" i="1"/>
  <c r="K185" i="1"/>
  <c r="I185" i="1"/>
  <c r="G185" i="1"/>
  <c r="F185" i="1"/>
  <c r="E185" i="1"/>
  <c r="C185" i="1"/>
  <c r="B185" i="1"/>
  <c r="K184" i="1"/>
  <c r="I184" i="1"/>
  <c r="G184" i="1"/>
  <c r="F184" i="1"/>
  <c r="E184" i="1"/>
  <c r="C184" i="1"/>
  <c r="B184" i="1"/>
  <c r="K183" i="1"/>
  <c r="I183" i="1"/>
  <c r="G183" i="1"/>
  <c r="F183" i="1"/>
  <c r="E183" i="1"/>
  <c r="C183" i="1"/>
  <c r="B183" i="1"/>
  <c r="K182" i="1"/>
  <c r="I182" i="1"/>
  <c r="G182" i="1"/>
  <c r="F182" i="1"/>
  <c r="E182" i="1"/>
  <c r="C182" i="1"/>
  <c r="B182" i="1"/>
  <c r="K181" i="1"/>
  <c r="I181" i="1"/>
  <c r="G181" i="1"/>
  <c r="F181" i="1"/>
  <c r="E181" i="1"/>
  <c r="C181" i="1"/>
  <c r="B181" i="1"/>
  <c r="K180" i="1"/>
  <c r="I180" i="1"/>
  <c r="G180" i="1"/>
  <c r="F180" i="1"/>
  <c r="E180" i="1"/>
  <c r="C180" i="1"/>
  <c r="B180" i="1"/>
  <c r="K179" i="1"/>
  <c r="I179" i="1"/>
  <c r="G179" i="1"/>
  <c r="F179" i="1"/>
  <c r="E179" i="1"/>
  <c r="C179" i="1"/>
  <c r="B179" i="1"/>
  <c r="K178" i="1"/>
  <c r="I178" i="1"/>
  <c r="G178" i="1"/>
  <c r="F178" i="1"/>
  <c r="E178" i="1"/>
  <c r="C178" i="1"/>
  <c r="B178" i="1"/>
  <c r="K177" i="1"/>
  <c r="I177" i="1"/>
  <c r="G177" i="1"/>
  <c r="F177" i="1"/>
  <c r="E177" i="1"/>
  <c r="C177" i="1"/>
  <c r="B177" i="1"/>
  <c r="K176" i="1"/>
  <c r="I176" i="1"/>
  <c r="G176" i="1"/>
  <c r="F176" i="1"/>
  <c r="E176" i="1"/>
  <c r="C176" i="1"/>
  <c r="B176" i="1"/>
  <c r="K175" i="1"/>
  <c r="I175" i="1"/>
  <c r="G175" i="1"/>
  <c r="F175" i="1"/>
  <c r="E175" i="1"/>
  <c r="C175" i="1"/>
  <c r="B175" i="1"/>
  <c r="K174" i="1"/>
  <c r="I174" i="1"/>
  <c r="G174" i="1"/>
  <c r="F174" i="1"/>
  <c r="E174" i="1"/>
  <c r="C174" i="1"/>
  <c r="B174" i="1"/>
  <c r="K173" i="1"/>
  <c r="I173" i="1"/>
  <c r="G173" i="1"/>
  <c r="F173" i="1"/>
  <c r="E173" i="1"/>
  <c r="C173" i="1"/>
  <c r="B173" i="1"/>
  <c r="K172" i="1"/>
  <c r="I172" i="1"/>
  <c r="G172" i="1"/>
  <c r="F172" i="1"/>
  <c r="E172" i="1"/>
  <c r="C172" i="1"/>
  <c r="B172" i="1"/>
  <c r="K171" i="1"/>
  <c r="I171" i="1"/>
  <c r="G171" i="1"/>
  <c r="F171" i="1"/>
  <c r="E171" i="1"/>
  <c r="C171" i="1"/>
  <c r="B171" i="1"/>
  <c r="K170" i="1"/>
  <c r="I170" i="1"/>
  <c r="G170" i="1"/>
  <c r="F170" i="1"/>
  <c r="E170" i="1"/>
  <c r="C170" i="1"/>
  <c r="B170" i="1"/>
  <c r="K169" i="1"/>
  <c r="I169" i="1"/>
  <c r="G169" i="1"/>
  <c r="F169" i="1"/>
  <c r="E169" i="1"/>
  <c r="C169" i="1"/>
  <c r="B169" i="1"/>
  <c r="K168" i="1"/>
  <c r="I168" i="1"/>
  <c r="G168" i="1"/>
  <c r="F168" i="1"/>
  <c r="E168" i="1"/>
  <c r="C168" i="1"/>
  <c r="B168" i="1"/>
  <c r="K167" i="1"/>
  <c r="I167" i="1"/>
  <c r="G167" i="1"/>
  <c r="F167" i="1"/>
  <c r="E167" i="1"/>
  <c r="C167" i="1"/>
  <c r="B167" i="1"/>
  <c r="K166" i="1"/>
  <c r="I166" i="1"/>
  <c r="G166" i="1"/>
  <c r="F166" i="1"/>
  <c r="E166" i="1"/>
  <c r="C166" i="1"/>
  <c r="B166" i="1"/>
  <c r="K165" i="1"/>
  <c r="I165" i="1"/>
  <c r="G165" i="1"/>
  <c r="F165" i="1"/>
  <c r="E165" i="1"/>
  <c r="C165" i="1"/>
  <c r="B165" i="1"/>
  <c r="K164" i="1"/>
  <c r="I164" i="1"/>
  <c r="G164" i="1"/>
  <c r="F164" i="1"/>
  <c r="E164" i="1"/>
  <c r="C164" i="1"/>
  <c r="B164" i="1"/>
  <c r="K163" i="1"/>
  <c r="I163" i="1"/>
  <c r="G163" i="1"/>
  <c r="F163" i="1"/>
  <c r="E163" i="1"/>
  <c r="C163" i="1"/>
  <c r="B163" i="1"/>
  <c r="K162" i="1"/>
  <c r="I162" i="1"/>
  <c r="G162" i="1"/>
  <c r="F162" i="1"/>
  <c r="E162" i="1"/>
  <c r="C162" i="1"/>
  <c r="B162" i="1"/>
  <c r="K161" i="1"/>
  <c r="I161" i="1"/>
  <c r="G161" i="1"/>
  <c r="F161" i="1"/>
  <c r="E161" i="1"/>
  <c r="C161" i="1"/>
  <c r="B161" i="1"/>
  <c r="K160" i="1"/>
  <c r="I160" i="1"/>
  <c r="G160" i="1"/>
  <c r="F160" i="1"/>
  <c r="E160" i="1"/>
  <c r="C160" i="1"/>
  <c r="B160" i="1"/>
  <c r="K159" i="1"/>
  <c r="I159" i="1"/>
  <c r="G159" i="1"/>
  <c r="F159" i="1"/>
  <c r="E159" i="1"/>
  <c r="C159" i="1"/>
  <c r="B159" i="1"/>
  <c r="K158" i="1"/>
  <c r="I158" i="1"/>
  <c r="G158" i="1"/>
  <c r="F158" i="1"/>
  <c r="E158" i="1"/>
  <c r="C158" i="1"/>
  <c r="B158" i="1"/>
  <c r="K157" i="1"/>
  <c r="I157" i="1"/>
  <c r="G157" i="1"/>
  <c r="F157" i="1"/>
  <c r="E157" i="1"/>
  <c r="C157" i="1"/>
  <c r="B157" i="1"/>
  <c r="K156" i="1"/>
  <c r="I156" i="1"/>
  <c r="G156" i="1"/>
  <c r="F156" i="1"/>
  <c r="E156" i="1"/>
  <c r="C156" i="1"/>
  <c r="B156" i="1"/>
  <c r="K155" i="1"/>
  <c r="I155" i="1"/>
  <c r="G155" i="1"/>
  <c r="F155" i="1"/>
  <c r="E155" i="1"/>
  <c r="C155" i="1"/>
  <c r="B155" i="1"/>
  <c r="K154" i="1"/>
  <c r="I154" i="1"/>
  <c r="G154" i="1"/>
  <c r="F154" i="1"/>
  <c r="E154" i="1"/>
  <c r="C154" i="1"/>
  <c r="B154" i="1"/>
  <c r="K153" i="1"/>
  <c r="I153" i="1"/>
  <c r="G153" i="1"/>
  <c r="F153" i="1"/>
  <c r="E153" i="1"/>
  <c r="C153" i="1"/>
  <c r="B153" i="1"/>
  <c r="K152" i="1"/>
  <c r="I152" i="1"/>
  <c r="G152" i="1"/>
  <c r="F152" i="1"/>
  <c r="E152" i="1"/>
  <c r="C152" i="1"/>
  <c r="B152" i="1"/>
  <c r="K151" i="1"/>
  <c r="I151" i="1"/>
  <c r="G151" i="1"/>
  <c r="F151" i="1"/>
  <c r="E151" i="1"/>
  <c r="C151" i="1"/>
  <c r="B151" i="1"/>
  <c r="K150" i="1"/>
  <c r="I150" i="1"/>
  <c r="G150" i="1"/>
  <c r="F150" i="1"/>
  <c r="E150" i="1"/>
  <c r="C150" i="1"/>
  <c r="B150" i="1"/>
  <c r="K149" i="1"/>
  <c r="I149" i="1"/>
  <c r="G149" i="1"/>
  <c r="F149" i="1"/>
  <c r="E149" i="1"/>
  <c r="C149" i="1"/>
  <c r="B149" i="1"/>
  <c r="K148" i="1"/>
  <c r="I148" i="1"/>
  <c r="G148" i="1"/>
  <c r="F148" i="1"/>
  <c r="E148" i="1"/>
  <c r="C148" i="1"/>
  <c r="B148" i="1"/>
  <c r="K147" i="1"/>
  <c r="I147" i="1"/>
  <c r="G147" i="1"/>
  <c r="F147" i="1"/>
  <c r="E147" i="1"/>
  <c r="C147" i="1"/>
  <c r="B147" i="1"/>
  <c r="K146" i="1"/>
  <c r="I146" i="1"/>
  <c r="G146" i="1"/>
  <c r="F146" i="1"/>
  <c r="E146" i="1"/>
  <c r="C146" i="1"/>
  <c r="B146" i="1"/>
  <c r="K145" i="1"/>
  <c r="I145" i="1"/>
  <c r="G145" i="1"/>
  <c r="F145" i="1"/>
  <c r="E145" i="1"/>
  <c r="C145" i="1"/>
  <c r="B145" i="1"/>
  <c r="K144" i="1"/>
  <c r="I144" i="1"/>
  <c r="G144" i="1"/>
  <c r="F144" i="1"/>
  <c r="E144" i="1"/>
  <c r="C144" i="1"/>
  <c r="B144" i="1"/>
  <c r="K143" i="1"/>
  <c r="I143" i="1"/>
  <c r="G143" i="1"/>
  <c r="F143" i="1"/>
  <c r="E143" i="1"/>
  <c r="C143" i="1"/>
  <c r="B143" i="1"/>
  <c r="K142" i="1"/>
  <c r="I142" i="1"/>
  <c r="G142" i="1"/>
  <c r="F142" i="1"/>
  <c r="E142" i="1"/>
  <c r="C142" i="1"/>
  <c r="B142" i="1"/>
  <c r="K141" i="1"/>
  <c r="I141" i="1"/>
  <c r="G141" i="1"/>
  <c r="F141" i="1"/>
  <c r="E141" i="1"/>
  <c r="C141" i="1"/>
  <c r="B141" i="1"/>
  <c r="K140" i="1"/>
  <c r="I140" i="1"/>
  <c r="G140" i="1"/>
  <c r="F140" i="1"/>
  <c r="E140" i="1"/>
  <c r="C140" i="1"/>
  <c r="B140" i="1"/>
  <c r="K139" i="1"/>
  <c r="I139" i="1"/>
  <c r="G139" i="1"/>
  <c r="F139" i="1"/>
  <c r="E139" i="1"/>
  <c r="C139" i="1"/>
  <c r="B139" i="1"/>
  <c r="K138" i="1"/>
  <c r="I138" i="1"/>
  <c r="G138" i="1"/>
  <c r="F138" i="1"/>
  <c r="E138" i="1"/>
  <c r="C138" i="1"/>
  <c r="B138" i="1"/>
  <c r="K137" i="1"/>
  <c r="I137" i="1"/>
  <c r="G137" i="1"/>
  <c r="F137" i="1"/>
  <c r="E137" i="1"/>
  <c r="C137" i="1"/>
  <c r="B137" i="1"/>
  <c r="K136" i="1"/>
  <c r="I136" i="1"/>
  <c r="G136" i="1"/>
  <c r="F136" i="1"/>
  <c r="E136" i="1"/>
  <c r="C136" i="1"/>
  <c r="B136" i="1"/>
  <c r="K135" i="1"/>
  <c r="I135" i="1"/>
  <c r="G135" i="1"/>
  <c r="F135" i="1"/>
  <c r="E135" i="1"/>
  <c r="C135" i="1"/>
  <c r="B135" i="1"/>
  <c r="K134" i="1"/>
  <c r="I134" i="1"/>
  <c r="G134" i="1"/>
  <c r="F134" i="1"/>
  <c r="E134" i="1"/>
  <c r="C134" i="1"/>
  <c r="B134" i="1"/>
  <c r="K133" i="1"/>
  <c r="I133" i="1"/>
  <c r="G133" i="1"/>
  <c r="F133" i="1"/>
  <c r="E133" i="1"/>
  <c r="C133" i="1"/>
  <c r="B133" i="1"/>
  <c r="K132" i="1"/>
  <c r="I132" i="1"/>
  <c r="G132" i="1"/>
  <c r="F132" i="1"/>
  <c r="E132" i="1"/>
  <c r="C132" i="1"/>
  <c r="B132" i="1"/>
  <c r="K131" i="1"/>
  <c r="I131" i="1"/>
  <c r="G131" i="1"/>
  <c r="F131" i="1"/>
  <c r="E131" i="1"/>
  <c r="C131" i="1"/>
  <c r="B131" i="1"/>
  <c r="K130" i="1"/>
  <c r="I130" i="1"/>
  <c r="G130" i="1"/>
  <c r="F130" i="1"/>
  <c r="E130" i="1"/>
  <c r="C130" i="1"/>
  <c r="B130" i="1"/>
  <c r="K129" i="1"/>
  <c r="I129" i="1"/>
  <c r="G129" i="1"/>
  <c r="F129" i="1"/>
  <c r="E129" i="1"/>
  <c r="C129" i="1"/>
  <c r="B129" i="1"/>
  <c r="K128" i="1"/>
  <c r="I128" i="1"/>
  <c r="G128" i="1"/>
  <c r="F128" i="1"/>
  <c r="E128" i="1"/>
  <c r="C128" i="1"/>
  <c r="B128" i="1"/>
  <c r="K127" i="1"/>
  <c r="I127" i="1"/>
  <c r="G127" i="1"/>
  <c r="F127" i="1"/>
  <c r="E127" i="1"/>
  <c r="C127" i="1"/>
  <c r="B127" i="1"/>
  <c r="K126" i="1"/>
  <c r="I126" i="1"/>
  <c r="G126" i="1"/>
  <c r="F126" i="1"/>
  <c r="E126" i="1"/>
  <c r="C126" i="1"/>
  <c r="B126" i="1"/>
  <c r="K125" i="1"/>
  <c r="I125" i="1"/>
  <c r="G125" i="1"/>
  <c r="F125" i="1"/>
  <c r="E125" i="1"/>
  <c r="C125" i="1"/>
  <c r="B125" i="1"/>
  <c r="K124" i="1"/>
  <c r="I124" i="1"/>
  <c r="G124" i="1"/>
  <c r="F124" i="1"/>
  <c r="E124" i="1"/>
  <c r="C124" i="1"/>
  <c r="B124" i="1"/>
  <c r="K123" i="1"/>
  <c r="I123" i="1"/>
  <c r="G123" i="1"/>
  <c r="F123" i="1"/>
  <c r="E123" i="1"/>
  <c r="C123" i="1"/>
  <c r="B123" i="1"/>
  <c r="K122" i="1"/>
  <c r="I122" i="1"/>
  <c r="G122" i="1"/>
  <c r="F122" i="1"/>
  <c r="E122" i="1"/>
  <c r="C122" i="1"/>
  <c r="B122" i="1"/>
  <c r="K121" i="1"/>
  <c r="I121" i="1"/>
  <c r="G121" i="1"/>
  <c r="F121" i="1"/>
  <c r="E121" i="1"/>
  <c r="C121" i="1"/>
  <c r="B121" i="1"/>
  <c r="K120" i="1"/>
  <c r="I120" i="1"/>
  <c r="G120" i="1"/>
  <c r="F120" i="1"/>
  <c r="E120" i="1"/>
  <c r="C120" i="1"/>
  <c r="B120" i="1"/>
  <c r="K119" i="1"/>
  <c r="I119" i="1"/>
  <c r="G119" i="1"/>
  <c r="F119" i="1"/>
  <c r="E119" i="1"/>
  <c r="C119" i="1"/>
  <c r="B119" i="1"/>
  <c r="K118" i="1"/>
  <c r="I118" i="1"/>
  <c r="G118" i="1"/>
  <c r="F118" i="1"/>
  <c r="E118" i="1"/>
  <c r="C118" i="1"/>
  <c r="B118" i="1"/>
  <c r="K117" i="1"/>
  <c r="I117" i="1"/>
  <c r="G117" i="1"/>
  <c r="F117" i="1"/>
  <c r="E117" i="1"/>
  <c r="C117" i="1"/>
  <c r="B117" i="1"/>
  <c r="K116" i="1"/>
  <c r="I116" i="1"/>
  <c r="G116" i="1"/>
  <c r="F116" i="1"/>
  <c r="E116" i="1"/>
  <c r="C116" i="1"/>
  <c r="B116" i="1"/>
  <c r="K115" i="1"/>
  <c r="I115" i="1"/>
  <c r="G115" i="1"/>
  <c r="F115" i="1"/>
  <c r="E115" i="1"/>
  <c r="C115" i="1"/>
  <c r="B115" i="1"/>
  <c r="K114" i="1"/>
  <c r="I114" i="1"/>
  <c r="G114" i="1"/>
  <c r="F114" i="1"/>
  <c r="E114" i="1"/>
  <c r="C114" i="1"/>
  <c r="B114" i="1"/>
  <c r="K113" i="1"/>
  <c r="I113" i="1"/>
  <c r="G113" i="1"/>
  <c r="F113" i="1"/>
  <c r="E113" i="1"/>
  <c r="C113" i="1"/>
  <c r="B113" i="1"/>
  <c r="K112" i="1"/>
  <c r="I112" i="1"/>
  <c r="G112" i="1"/>
  <c r="F112" i="1"/>
  <c r="E112" i="1"/>
  <c r="C112" i="1"/>
  <c r="B112" i="1"/>
  <c r="K111" i="1"/>
  <c r="I111" i="1"/>
  <c r="G111" i="1"/>
  <c r="F111" i="1"/>
  <c r="E111" i="1"/>
  <c r="C111" i="1"/>
  <c r="B111" i="1"/>
  <c r="K110" i="1"/>
  <c r="I110" i="1"/>
  <c r="G110" i="1"/>
  <c r="F110" i="1"/>
  <c r="E110" i="1"/>
  <c r="C110" i="1"/>
  <c r="B110" i="1"/>
  <c r="K109" i="1"/>
  <c r="I109" i="1"/>
  <c r="G109" i="1"/>
  <c r="F109" i="1"/>
  <c r="E109" i="1"/>
  <c r="C109" i="1"/>
  <c r="B109" i="1"/>
  <c r="K108" i="1"/>
  <c r="I108" i="1"/>
  <c r="G108" i="1"/>
  <c r="F108" i="1"/>
  <c r="E108" i="1"/>
  <c r="C108" i="1"/>
  <c r="B108" i="1"/>
  <c r="K107" i="1"/>
  <c r="I107" i="1"/>
  <c r="G107" i="1"/>
  <c r="F107" i="1"/>
  <c r="E107" i="1"/>
  <c r="C107" i="1"/>
  <c r="B107" i="1"/>
  <c r="K106" i="1"/>
  <c r="I106" i="1"/>
  <c r="G106" i="1"/>
  <c r="F106" i="1"/>
  <c r="E106" i="1"/>
  <c r="C106" i="1"/>
  <c r="B106" i="1"/>
  <c r="K105" i="1"/>
  <c r="I105" i="1"/>
  <c r="G105" i="1"/>
  <c r="F105" i="1"/>
  <c r="E105" i="1"/>
  <c r="C105" i="1"/>
  <c r="B105" i="1"/>
  <c r="K104" i="1"/>
  <c r="I104" i="1"/>
  <c r="G104" i="1"/>
  <c r="F104" i="1"/>
  <c r="E104" i="1"/>
  <c r="C104" i="1"/>
  <c r="B104" i="1"/>
  <c r="K103" i="1"/>
  <c r="I103" i="1"/>
  <c r="G103" i="1"/>
  <c r="F103" i="1"/>
  <c r="E103" i="1"/>
  <c r="C103" i="1"/>
  <c r="B103" i="1"/>
  <c r="K102" i="1"/>
  <c r="I102" i="1"/>
  <c r="G102" i="1"/>
  <c r="F102" i="1"/>
  <c r="E102" i="1"/>
  <c r="C102" i="1"/>
  <c r="B102" i="1"/>
  <c r="K101" i="1"/>
  <c r="I101" i="1"/>
  <c r="G101" i="1"/>
  <c r="F101" i="1"/>
  <c r="E101" i="1"/>
  <c r="C101" i="1"/>
  <c r="B101" i="1"/>
  <c r="K100" i="1"/>
  <c r="I100" i="1"/>
  <c r="G100" i="1"/>
  <c r="F100" i="1"/>
  <c r="E100" i="1"/>
  <c r="C100" i="1"/>
  <c r="B100" i="1"/>
  <c r="K99" i="1"/>
  <c r="I99" i="1"/>
  <c r="G99" i="1"/>
  <c r="F99" i="1"/>
  <c r="E99" i="1"/>
  <c r="C99" i="1"/>
  <c r="B99" i="1"/>
  <c r="K98" i="1"/>
  <c r="I98" i="1"/>
  <c r="G98" i="1"/>
  <c r="F98" i="1"/>
  <c r="E98" i="1"/>
  <c r="C98" i="1"/>
  <c r="B98" i="1"/>
  <c r="K97" i="1"/>
  <c r="I97" i="1"/>
  <c r="G97" i="1"/>
  <c r="F97" i="1"/>
  <c r="E97" i="1"/>
  <c r="C97" i="1"/>
  <c r="B97" i="1"/>
  <c r="K96" i="1"/>
  <c r="I96" i="1"/>
  <c r="G96" i="1"/>
  <c r="F96" i="1"/>
  <c r="E96" i="1"/>
  <c r="C96" i="1"/>
  <c r="B96" i="1"/>
  <c r="K95" i="1"/>
  <c r="I95" i="1"/>
  <c r="G95" i="1"/>
  <c r="F95" i="1"/>
  <c r="E95" i="1"/>
  <c r="C95" i="1"/>
  <c r="B95" i="1"/>
  <c r="K94" i="1"/>
  <c r="I94" i="1"/>
  <c r="G94" i="1"/>
  <c r="F94" i="1"/>
  <c r="E94" i="1"/>
  <c r="C94" i="1"/>
  <c r="B94" i="1"/>
  <c r="K93" i="1"/>
  <c r="I93" i="1"/>
  <c r="G93" i="1"/>
  <c r="F93" i="1"/>
  <c r="E93" i="1"/>
  <c r="C93" i="1"/>
  <c r="B93" i="1"/>
  <c r="K92" i="1"/>
  <c r="I92" i="1"/>
  <c r="G92" i="1"/>
  <c r="F92" i="1"/>
  <c r="E92" i="1"/>
  <c r="C92" i="1"/>
  <c r="B92" i="1"/>
  <c r="K91" i="1"/>
  <c r="I91" i="1"/>
  <c r="G91" i="1"/>
  <c r="F91" i="1"/>
  <c r="E91" i="1"/>
  <c r="C91" i="1"/>
  <c r="B91" i="1"/>
  <c r="K90" i="1"/>
  <c r="I90" i="1"/>
  <c r="G90" i="1"/>
  <c r="F90" i="1"/>
  <c r="E90" i="1"/>
  <c r="C90" i="1"/>
  <c r="B90" i="1"/>
  <c r="K89" i="1"/>
  <c r="I89" i="1"/>
  <c r="G89" i="1"/>
  <c r="F89" i="1"/>
  <c r="E89" i="1"/>
  <c r="C89" i="1"/>
  <c r="B89" i="1"/>
  <c r="K88" i="1"/>
  <c r="I88" i="1"/>
  <c r="G88" i="1"/>
  <c r="F88" i="1"/>
  <c r="E88" i="1"/>
  <c r="C88" i="1"/>
  <c r="B88" i="1"/>
  <c r="K87" i="1"/>
  <c r="I87" i="1"/>
  <c r="G87" i="1"/>
  <c r="F87" i="1"/>
  <c r="E87" i="1"/>
  <c r="C87" i="1"/>
  <c r="B87" i="1"/>
  <c r="K86" i="1"/>
  <c r="I86" i="1"/>
  <c r="G86" i="1"/>
  <c r="F86" i="1"/>
  <c r="E86" i="1"/>
  <c r="C86" i="1"/>
  <c r="B86" i="1"/>
  <c r="K85" i="1"/>
  <c r="I85" i="1"/>
  <c r="G85" i="1"/>
  <c r="F85" i="1"/>
  <c r="E85" i="1"/>
  <c r="C85" i="1"/>
  <c r="B85" i="1"/>
  <c r="K84" i="1"/>
  <c r="I84" i="1"/>
  <c r="G84" i="1"/>
  <c r="F84" i="1"/>
  <c r="E84" i="1"/>
  <c r="C84" i="1"/>
  <c r="B84" i="1"/>
  <c r="K83" i="1"/>
  <c r="I83" i="1"/>
  <c r="G83" i="1"/>
  <c r="F83" i="1"/>
  <c r="E83" i="1"/>
  <c r="C83" i="1"/>
  <c r="B83" i="1"/>
  <c r="K82" i="1"/>
  <c r="I82" i="1"/>
  <c r="G82" i="1"/>
  <c r="F82" i="1"/>
  <c r="E82" i="1"/>
  <c r="C82" i="1"/>
  <c r="B82" i="1"/>
  <c r="K81" i="1"/>
  <c r="I81" i="1"/>
  <c r="G81" i="1"/>
  <c r="F81" i="1"/>
  <c r="E81" i="1"/>
  <c r="C81" i="1"/>
  <c r="B81" i="1"/>
  <c r="K80" i="1"/>
  <c r="I80" i="1"/>
  <c r="G80" i="1"/>
  <c r="F80" i="1"/>
  <c r="E80" i="1"/>
  <c r="C80" i="1"/>
  <c r="B80" i="1"/>
  <c r="K79" i="1"/>
  <c r="I79" i="1"/>
  <c r="G79" i="1"/>
  <c r="F79" i="1"/>
  <c r="E79" i="1"/>
  <c r="C79" i="1"/>
  <c r="B79" i="1"/>
  <c r="K78" i="1"/>
  <c r="I78" i="1"/>
  <c r="G78" i="1"/>
  <c r="F78" i="1"/>
  <c r="E78" i="1"/>
  <c r="C78" i="1"/>
  <c r="B78" i="1"/>
  <c r="K77" i="1"/>
  <c r="I77" i="1"/>
  <c r="G77" i="1"/>
  <c r="F77" i="1"/>
  <c r="E77" i="1"/>
  <c r="C77" i="1"/>
  <c r="B77" i="1"/>
  <c r="K76" i="1"/>
  <c r="I76" i="1"/>
  <c r="G76" i="1"/>
  <c r="F76" i="1"/>
  <c r="E76" i="1"/>
  <c r="C76" i="1"/>
  <c r="B76" i="1"/>
  <c r="K75" i="1"/>
  <c r="I75" i="1"/>
  <c r="G75" i="1"/>
  <c r="F75" i="1"/>
  <c r="E75" i="1"/>
  <c r="C75" i="1"/>
  <c r="B75" i="1"/>
  <c r="K74" i="1"/>
  <c r="I74" i="1"/>
  <c r="G74" i="1"/>
  <c r="F74" i="1"/>
  <c r="E74" i="1"/>
  <c r="C74" i="1"/>
  <c r="B74" i="1"/>
  <c r="K73" i="1"/>
  <c r="I73" i="1"/>
  <c r="G73" i="1"/>
  <c r="F73" i="1"/>
  <c r="E73" i="1"/>
  <c r="C73" i="1"/>
  <c r="B73" i="1"/>
  <c r="K72" i="1"/>
  <c r="I72" i="1"/>
  <c r="G72" i="1"/>
  <c r="F72" i="1"/>
  <c r="E72" i="1"/>
  <c r="C72" i="1"/>
  <c r="B72" i="1"/>
  <c r="K71" i="1"/>
  <c r="I71" i="1"/>
  <c r="G71" i="1"/>
  <c r="F71" i="1"/>
  <c r="E71" i="1"/>
  <c r="C71" i="1"/>
  <c r="B71" i="1"/>
  <c r="K70" i="1"/>
  <c r="I70" i="1"/>
  <c r="G70" i="1"/>
  <c r="F70" i="1"/>
  <c r="E70" i="1"/>
  <c r="C70" i="1"/>
  <c r="B70" i="1"/>
  <c r="K69" i="1"/>
  <c r="I69" i="1"/>
  <c r="G69" i="1"/>
  <c r="F69" i="1"/>
  <c r="E69" i="1"/>
  <c r="C69" i="1"/>
  <c r="B69" i="1"/>
  <c r="K68" i="1"/>
  <c r="I68" i="1"/>
  <c r="G68" i="1"/>
  <c r="F68" i="1"/>
  <c r="E68" i="1"/>
  <c r="C68" i="1"/>
  <c r="B68" i="1"/>
  <c r="K67" i="1"/>
  <c r="I67" i="1"/>
  <c r="G67" i="1"/>
  <c r="F67" i="1"/>
  <c r="E67" i="1"/>
  <c r="C67" i="1"/>
  <c r="B67" i="1"/>
  <c r="K66" i="1"/>
  <c r="I66" i="1"/>
  <c r="G66" i="1"/>
  <c r="F66" i="1"/>
  <c r="E66" i="1"/>
  <c r="C66" i="1"/>
  <c r="B66" i="1"/>
  <c r="K65" i="1"/>
  <c r="I65" i="1"/>
  <c r="G65" i="1"/>
  <c r="F65" i="1"/>
  <c r="E65" i="1"/>
  <c r="C65" i="1"/>
  <c r="B65" i="1"/>
  <c r="K64" i="1"/>
  <c r="I64" i="1"/>
  <c r="G64" i="1"/>
  <c r="F64" i="1"/>
  <c r="E64" i="1"/>
  <c r="C64" i="1"/>
  <c r="B64" i="1"/>
  <c r="K63" i="1"/>
  <c r="I63" i="1"/>
  <c r="G63" i="1"/>
  <c r="F63" i="1"/>
  <c r="E63" i="1"/>
  <c r="C63" i="1"/>
  <c r="B63" i="1"/>
  <c r="K62" i="1"/>
  <c r="I62" i="1"/>
  <c r="G62" i="1"/>
  <c r="F62" i="1"/>
  <c r="E62" i="1"/>
  <c r="C62" i="1"/>
  <c r="B62" i="1"/>
  <c r="K61" i="1"/>
  <c r="I61" i="1"/>
  <c r="G61" i="1"/>
  <c r="F61" i="1"/>
  <c r="E61" i="1"/>
  <c r="C61" i="1"/>
  <c r="B61" i="1"/>
  <c r="K60" i="1"/>
  <c r="I60" i="1"/>
  <c r="G60" i="1"/>
  <c r="F60" i="1"/>
  <c r="E60" i="1"/>
  <c r="C60" i="1"/>
  <c r="B60" i="1"/>
  <c r="K59" i="1"/>
  <c r="I59" i="1"/>
  <c r="G59" i="1"/>
  <c r="F59" i="1"/>
  <c r="E59" i="1"/>
  <c r="C59" i="1"/>
  <c r="B59" i="1"/>
  <c r="K58" i="1"/>
  <c r="I58" i="1"/>
  <c r="G58" i="1"/>
  <c r="F58" i="1"/>
  <c r="E58" i="1"/>
  <c r="C58" i="1"/>
  <c r="B58" i="1"/>
  <c r="K57" i="1"/>
  <c r="I57" i="1"/>
  <c r="G57" i="1"/>
  <c r="F57" i="1"/>
  <c r="E57" i="1"/>
  <c r="C57" i="1"/>
  <c r="B57" i="1"/>
  <c r="K56" i="1"/>
  <c r="I56" i="1"/>
  <c r="G56" i="1"/>
  <c r="F56" i="1"/>
  <c r="E56" i="1"/>
  <c r="C56" i="1"/>
  <c r="B56" i="1"/>
  <c r="K55" i="1"/>
  <c r="I55" i="1"/>
  <c r="G55" i="1"/>
  <c r="F55" i="1"/>
  <c r="E55" i="1"/>
  <c r="C55" i="1"/>
  <c r="B55" i="1"/>
  <c r="K54" i="1"/>
  <c r="I54" i="1"/>
  <c r="G54" i="1"/>
  <c r="F54" i="1"/>
  <c r="E54" i="1"/>
  <c r="C54" i="1"/>
  <c r="B54" i="1"/>
  <c r="K53" i="1"/>
  <c r="I53" i="1"/>
  <c r="G53" i="1"/>
  <c r="F53" i="1"/>
  <c r="E53" i="1"/>
  <c r="C53" i="1"/>
  <c r="B53" i="1"/>
  <c r="K52" i="1"/>
  <c r="I52" i="1"/>
  <c r="G52" i="1"/>
  <c r="F52" i="1"/>
  <c r="E52" i="1"/>
  <c r="C52" i="1"/>
  <c r="B52" i="1"/>
  <c r="K51" i="1"/>
  <c r="I51" i="1"/>
  <c r="G51" i="1"/>
  <c r="F51" i="1"/>
  <c r="E51" i="1"/>
  <c r="C51" i="1"/>
  <c r="B51" i="1"/>
  <c r="K50" i="1"/>
  <c r="I50" i="1"/>
  <c r="G50" i="1"/>
  <c r="F50" i="1"/>
  <c r="E50" i="1"/>
  <c r="C50" i="1"/>
  <c r="B50" i="1"/>
  <c r="K49" i="1"/>
  <c r="I49" i="1"/>
  <c r="G49" i="1"/>
  <c r="F49" i="1"/>
  <c r="E49" i="1"/>
  <c r="C49" i="1"/>
  <c r="B49" i="1"/>
  <c r="K48" i="1"/>
  <c r="I48" i="1"/>
  <c r="G48" i="1"/>
  <c r="F48" i="1"/>
  <c r="E48" i="1"/>
  <c r="C48" i="1"/>
  <c r="B48" i="1"/>
  <c r="K47" i="1"/>
  <c r="I47" i="1"/>
  <c r="G47" i="1"/>
  <c r="F47" i="1"/>
  <c r="E47" i="1"/>
  <c r="C47" i="1"/>
  <c r="B47" i="1"/>
  <c r="K46" i="1"/>
  <c r="I46" i="1"/>
  <c r="G46" i="1"/>
  <c r="F46" i="1"/>
  <c r="E46" i="1"/>
  <c r="C46" i="1"/>
  <c r="B46" i="1"/>
  <c r="K45" i="1"/>
  <c r="I45" i="1"/>
  <c r="G45" i="1"/>
  <c r="F45" i="1"/>
  <c r="E45" i="1"/>
  <c r="C45" i="1"/>
  <c r="B45" i="1"/>
  <c r="K44" i="1"/>
  <c r="I44" i="1"/>
  <c r="G44" i="1"/>
  <c r="F44" i="1"/>
  <c r="E44" i="1"/>
  <c r="C44" i="1"/>
  <c r="B44" i="1"/>
  <c r="K43" i="1"/>
  <c r="I43" i="1"/>
  <c r="G43" i="1"/>
  <c r="F43" i="1"/>
  <c r="E43" i="1"/>
  <c r="C43" i="1"/>
  <c r="B43" i="1"/>
  <c r="K42" i="1"/>
  <c r="I42" i="1"/>
  <c r="G42" i="1"/>
  <c r="F42" i="1"/>
  <c r="E42" i="1"/>
  <c r="C42" i="1"/>
  <c r="B42" i="1"/>
  <c r="K41" i="1"/>
  <c r="I41" i="1"/>
  <c r="G41" i="1"/>
  <c r="F41" i="1"/>
  <c r="E41" i="1"/>
  <c r="C41" i="1"/>
  <c r="B41" i="1"/>
  <c r="K40" i="1"/>
  <c r="I40" i="1"/>
  <c r="G40" i="1"/>
  <c r="F40" i="1"/>
  <c r="E40" i="1"/>
  <c r="C40" i="1"/>
  <c r="B40" i="1"/>
  <c r="K39" i="1"/>
  <c r="I39" i="1"/>
  <c r="G39" i="1"/>
  <c r="F39" i="1"/>
  <c r="E39" i="1"/>
  <c r="C39" i="1"/>
  <c r="B39" i="1"/>
  <c r="K38" i="1"/>
  <c r="I38" i="1"/>
  <c r="G38" i="1"/>
  <c r="F38" i="1"/>
  <c r="E38" i="1"/>
  <c r="C38" i="1"/>
  <c r="B38" i="1"/>
  <c r="K37" i="1"/>
  <c r="I37" i="1"/>
  <c r="G37" i="1"/>
  <c r="F37" i="1"/>
  <c r="E37" i="1"/>
  <c r="C37" i="1"/>
  <c r="B37" i="1"/>
  <c r="K36" i="1"/>
  <c r="I36" i="1"/>
  <c r="G36" i="1"/>
  <c r="F36" i="1"/>
  <c r="E36" i="1"/>
  <c r="C36" i="1"/>
  <c r="B36" i="1"/>
  <c r="K35" i="1"/>
  <c r="I35" i="1"/>
  <c r="G35" i="1"/>
  <c r="F35" i="1"/>
  <c r="E35" i="1"/>
  <c r="C35" i="1"/>
  <c r="B35" i="1"/>
  <c r="K34" i="1"/>
  <c r="I34" i="1"/>
  <c r="G34" i="1"/>
  <c r="F34" i="1"/>
  <c r="E34" i="1"/>
  <c r="C34" i="1"/>
  <c r="B34" i="1"/>
  <c r="K33" i="1"/>
  <c r="I33" i="1"/>
  <c r="G33" i="1"/>
  <c r="F33" i="1"/>
  <c r="E33" i="1"/>
  <c r="C33" i="1"/>
  <c r="B33" i="1"/>
  <c r="K32" i="1"/>
  <c r="I32" i="1"/>
  <c r="G32" i="1"/>
  <c r="F32" i="1"/>
  <c r="E32" i="1"/>
  <c r="C32" i="1"/>
  <c r="B32" i="1"/>
  <c r="K31" i="1"/>
  <c r="I31" i="1"/>
  <c r="G31" i="1"/>
  <c r="F31" i="1"/>
  <c r="E31" i="1"/>
  <c r="C31" i="1"/>
  <c r="B31" i="1"/>
  <c r="K30" i="1"/>
  <c r="I30" i="1"/>
  <c r="G30" i="1"/>
  <c r="F30" i="1"/>
  <c r="E30" i="1"/>
  <c r="C30" i="1"/>
  <c r="B30" i="1"/>
  <c r="K29" i="1"/>
  <c r="I29" i="1"/>
  <c r="G29" i="1"/>
  <c r="F29" i="1"/>
  <c r="E29" i="1"/>
  <c r="C29" i="1"/>
  <c r="B29" i="1"/>
  <c r="K28" i="1"/>
  <c r="I28" i="1"/>
  <c r="G28" i="1"/>
  <c r="F28" i="1"/>
  <c r="E28" i="1"/>
  <c r="C28" i="1"/>
  <c r="B28" i="1"/>
  <c r="K27" i="1"/>
  <c r="I27" i="1"/>
  <c r="G27" i="1"/>
  <c r="F27" i="1"/>
  <c r="E27" i="1"/>
  <c r="C27" i="1"/>
  <c r="B27" i="1"/>
  <c r="K26" i="1"/>
  <c r="I26" i="1"/>
  <c r="G26" i="1"/>
  <c r="F26" i="1"/>
  <c r="E26" i="1"/>
  <c r="C26" i="1"/>
  <c r="B26" i="1"/>
  <c r="K25" i="1"/>
  <c r="I25" i="1"/>
  <c r="G25" i="1"/>
  <c r="F25" i="1"/>
  <c r="E25" i="1"/>
  <c r="C25" i="1"/>
  <c r="B25" i="1"/>
  <c r="K24" i="1"/>
  <c r="I24" i="1"/>
  <c r="G24" i="1"/>
  <c r="F24" i="1"/>
  <c r="E24" i="1"/>
  <c r="C24" i="1"/>
  <c r="B24" i="1"/>
  <c r="K23" i="1"/>
  <c r="I23" i="1"/>
  <c r="G23" i="1"/>
  <c r="F23" i="1"/>
  <c r="E23" i="1"/>
  <c r="C23" i="1"/>
  <c r="B23" i="1"/>
  <c r="I11" i="1" l="1"/>
  <c r="I12" i="1"/>
  <c r="I13" i="1"/>
  <c r="I14" i="1"/>
  <c r="I15" i="1"/>
  <c r="I16" i="1"/>
  <c r="I17" i="1"/>
  <c r="I18" i="1"/>
  <c r="I19" i="1"/>
  <c r="I20" i="1"/>
  <c r="I21" i="1"/>
  <c r="I22" i="1"/>
  <c r="I10" i="1"/>
  <c r="B12" i="1" l="1"/>
  <c r="C12" i="1"/>
  <c r="E12" i="1"/>
  <c r="F12" i="1"/>
  <c r="G12" i="1"/>
  <c r="K12" i="1"/>
  <c r="K19" i="1" l="1"/>
  <c r="G19" i="1"/>
  <c r="F19" i="1"/>
  <c r="E19" i="1"/>
  <c r="C19" i="1"/>
  <c r="B19" i="1"/>
  <c r="K18" i="1"/>
  <c r="G18" i="1"/>
  <c r="F18" i="1"/>
  <c r="E18" i="1"/>
  <c r="C18" i="1"/>
  <c r="B18" i="1"/>
  <c r="K17" i="1"/>
  <c r="G17" i="1"/>
  <c r="F17" i="1"/>
  <c r="E17" i="1"/>
  <c r="C17" i="1"/>
  <c r="B17" i="1"/>
  <c r="K16" i="1"/>
  <c r="G16" i="1"/>
  <c r="F16" i="1"/>
  <c r="E16" i="1"/>
  <c r="C16" i="1"/>
  <c r="B16" i="1"/>
  <c r="K15" i="1"/>
  <c r="G15" i="1"/>
  <c r="F15" i="1"/>
  <c r="E15" i="1"/>
  <c r="C15" i="1"/>
  <c r="B15" i="1"/>
  <c r="K14" i="1"/>
  <c r="G14" i="1"/>
  <c r="F14" i="1"/>
  <c r="E14" i="1"/>
  <c r="C14" i="1"/>
  <c r="B14" i="1"/>
  <c r="K22" i="1"/>
  <c r="G22" i="1"/>
  <c r="F22" i="1"/>
  <c r="E22" i="1"/>
  <c r="C22" i="1"/>
  <c r="B22" i="1"/>
  <c r="K21" i="1"/>
  <c r="G21" i="1"/>
  <c r="F21" i="1"/>
  <c r="E21" i="1"/>
  <c r="C21" i="1"/>
  <c r="B21" i="1"/>
  <c r="D7" i="1"/>
  <c r="E3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2" i="4"/>
  <c r="K20" i="1" l="1"/>
  <c r="G20" i="1"/>
  <c r="F20" i="1"/>
  <c r="E20" i="1"/>
  <c r="C20" i="1"/>
  <c r="B20" i="1"/>
  <c r="K13" i="1"/>
  <c r="G13" i="1"/>
  <c r="F13" i="1"/>
  <c r="E13" i="1"/>
  <c r="C13" i="1"/>
  <c r="B13" i="1"/>
  <c r="K11" i="1"/>
  <c r="G11" i="1"/>
  <c r="F11" i="1"/>
  <c r="E11" i="1"/>
  <c r="C11" i="1"/>
  <c r="B11" i="1"/>
  <c r="G10" i="1"/>
  <c r="F10" i="1"/>
  <c r="E10" i="1"/>
  <c r="C10" i="1"/>
  <c r="B10" i="1"/>
  <c r="K10" i="1"/>
</calcChain>
</file>

<file path=xl/sharedStrings.xml><?xml version="1.0" encoding="utf-8"?>
<sst xmlns="http://schemas.openxmlformats.org/spreadsheetml/2006/main" count="4121" uniqueCount="1969">
  <si>
    <t>Centro SAP:</t>
  </si>
  <si>
    <t>K2B3</t>
  </si>
  <si>
    <t>Processo:</t>
  </si>
  <si>
    <t>Número:</t>
  </si>
  <si>
    <t>Solicitado por:</t>
  </si>
  <si>
    <t>Responsável pela Execução:</t>
  </si>
  <si>
    <t>Localidade:</t>
  </si>
  <si>
    <t>Data Planejada:</t>
  </si>
  <si>
    <t>Data Envio Fluxo:</t>
  </si>
  <si>
    <t>Data Retorno Fluxo:</t>
  </si>
  <si>
    <t>Centro SAP</t>
  </si>
  <si>
    <t>Processo</t>
  </si>
  <si>
    <t>Número</t>
  </si>
  <si>
    <t>Data Envio Fluxo</t>
  </si>
  <si>
    <t>Data Planejada</t>
  </si>
  <si>
    <t>Material</t>
  </si>
  <si>
    <t>Descrição Material</t>
  </si>
  <si>
    <t>UDM</t>
  </si>
  <si>
    <t>Qtde</t>
  </si>
  <si>
    <t>Pedido SAP</t>
  </si>
  <si>
    <t>Qtde Disponível</t>
  </si>
  <si>
    <t>Qtde Atendida</t>
  </si>
  <si>
    <t>Status</t>
  </si>
  <si>
    <t>Observação</t>
  </si>
  <si>
    <t>NOK - Atendido Parcial - Qtde do Pedido SAP não Atende</t>
  </si>
  <si>
    <t>Descripcion</t>
  </si>
  <si>
    <t>PEÇ</t>
  </si>
  <si>
    <t>M</t>
  </si>
  <si>
    <t>UN</t>
  </si>
  <si>
    <t>PAR</t>
  </si>
  <si>
    <t>CJT</t>
  </si>
  <si>
    <t>KG</t>
  </si>
  <si>
    <t>CABO AL NU CAA 2AWG</t>
  </si>
  <si>
    <t>MANILHA, AÇO GALV.F-1201</t>
  </si>
  <si>
    <t>FERRO FUNDIDO SUCATA</t>
  </si>
  <si>
    <t>FERRO BATIDO SUCATA</t>
  </si>
  <si>
    <t>CHUMBO - SUCATA</t>
  </si>
  <si>
    <t>BUCHA PLÁSTICA S8.</t>
  </si>
  <si>
    <t>Parafuso (philips) M4 X 6mm</t>
  </si>
  <si>
    <t>Parafuso philips 1/4 x 1.1/2</t>
  </si>
  <si>
    <t>Parafuso philips 1/4   2"</t>
  </si>
  <si>
    <t>CONECTOR EMENDA (FIBRA ÓPTICA)</t>
  </si>
  <si>
    <t>Visualizador-DISPLAY REMOTO</t>
  </si>
  <si>
    <t>MEDIDOR,E13,MONOFASICO</t>
  </si>
  <si>
    <t>MEDIDOR,E13,BIFÁSICO</t>
  </si>
  <si>
    <t>MEDIDOR,E13,TRIFÁSICO</t>
  </si>
  <si>
    <t>CONCENTRADOR SECUNDÁRIO SUCATA</t>
  </si>
  <si>
    <t>DISPLAY ELSTER, REMOTO 120V</t>
  </si>
  <si>
    <t>CONCENTRADOR PRIMÁRIO ELSTER</t>
  </si>
  <si>
    <t>SELA P/CRUZETA, DED-0049 R.3</t>
  </si>
  <si>
    <t>CHAPA PARA ESTAI, DED-0081 R.3</t>
  </si>
  <si>
    <t>GANCHO OLHAL, DED-0039 R.3</t>
  </si>
  <si>
    <t>HASTE DE ANCORA, DED-0082 R.5</t>
  </si>
  <si>
    <t>OLHAL, DED-0043 R.4</t>
  </si>
  <si>
    <t>PINO,ISOLADOR PINO,PM-1829 I1</t>
  </si>
  <si>
    <t>PINO DE TOPO, DDT-0317 R.3</t>
  </si>
  <si>
    <t>CONECTOR TERM. P/ COND. CU DDT</t>
  </si>
  <si>
    <t>ISOLADOR,PINO PORCELANA,PM006</t>
  </si>
  <si>
    <t>ISOLADOR ROLDANA, PM-0064 R6</t>
  </si>
  <si>
    <t>CAIXA DERIVAÇÃO DED-1905 R5</t>
  </si>
  <si>
    <t>CAIXA ATERRAMENTO DED-1855</t>
  </si>
  <si>
    <t>CHUMBADOR DE AÇO, DDT-1757 R.1</t>
  </si>
  <si>
    <t>BARRAMENTO BIFÁSICO DED-1841</t>
  </si>
  <si>
    <t>TC 400-5A - 0,6KV DQN 2021 I.3</t>
  </si>
  <si>
    <t>TC 200-5A 0,6KV DQN-2021 I.1</t>
  </si>
  <si>
    <t>TC 300-5A 0,6KV DQN-2021 I.2</t>
  </si>
  <si>
    <t>TC 600-5A - 0,6KV DQN-2021 I.4</t>
  </si>
  <si>
    <t>TC 15KV EXTERNO,1000/2000-5-5A</t>
  </si>
  <si>
    <t>TC 800-5A 0,6KV DQN - 2021 I.5</t>
  </si>
  <si>
    <t>CONECTOR TERM. P/ COND. CU, DD</t>
  </si>
  <si>
    <t>PLUGUE DE CONEXÃO,PC-DQN-2161</t>
  </si>
  <si>
    <t>TP SECO,300KVA,PM-2165 I1</t>
  </si>
  <si>
    <t>LIMITADOR CARGA MONO,4A,REP AU</t>
  </si>
  <si>
    <t>ESTRIBO,BARRA CHATA,PM 2194 R0</t>
  </si>
  <si>
    <t>CRUZETA CONCRETO,2M,PM-2241</t>
  </si>
  <si>
    <t>MEDIDOR ENERGIA ATIVA,TRIF,15-</t>
  </si>
  <si>
    <t>CX MED MONO ELET, TRAVA TAMPA</t>
  </si>
  <si>
    <t>MÓDULO DE CONTROLE</t>
  </si>
  <si>
    <t>KIT MACROMEDIÇÃO</t>
  </si>
  <si>
    <t>LAÇO,PREF CB PR 50 PROT</t>
  </si>
  <si>
    <t>PLASTICO DIV TIPOS-SUCATA</t>
  </si>
  <si>
    <t>OK - Material Disponível</t>
  </si>
  <si>
    <t>NOK - Material Sem Saldo Físico</t>
  </si>
  <si>
    <t>NOK - Atendido Parcial - Material Sem Saldo Físico</t>
  </si>
  <si>
    <t>NOK - Pedido SAP não Informado</t>
  </si>
  <si>
    <t>NOK - Pedido SAP criado para outro Centro</t>
  </si>
  <si>
    <t>NOK - Material Indisponível no Pedido SAP</t>
  </si>
  <si>
    <t>NOK - Material Segregado para Outro Processo</t>
  </si>
  <si>
    <t>NOK - Material Não Estocável no Centro</t>
  </si>
  <si>
    <t>NOK - Material Não Estocável no Centro - IMPUTADO</t>
  </si>
  <si>
    <t>NOK - Pedido SAP Apresentou Orçamento Excedido</t>
  </si>
  <si>
    <t>NOK - Pedido SAP Apresentou Erro na Baixa</t>
  </si>
  <si>
    <t>NOK - Outros</t>
  </si>
  <si>
    <t>Tipo</t>
  </si>
  <si>
    <t>Localidade</t>
  </si>
  <si>
    <t>Empresa</t>
  </si>
  <si>
    <t>Empresa - Local</t>
  </si>
  <si>
    <t>Região</t>
  </si>
  <si>
    <t>CLC</t>
  </si>
  <si>
    <t>NITEROI</t>
  </si>
  <si>
    <t>CENTRAL</t>
  </si>
  <si>
    <t>POLO</t>
  </si>
  <si>
    <t>K0B1</t>
  </si>
  <si>
    <t>ARARUAMA</t>
  </si>
  <si>
    <t>AMPLA</t>
  </si>
  <si>
    <t>LAGOS</t>
  </si>
  <si>
    <t>K0B2</t>
  </si>
  <si>
    <t>CAMPOS</t>
  </si>
  <si>
    <t>NORTE FLUMINENSE</t>
  </si>
  <si>
    <t>EMPREITEIRA</t>
  </si>
  <si>
    <t>K0B3</t>
  </si>
  <si>
    <t>RESENDE</t>
  </si>
  <si>
    <t>SOTER</t>
  </si>
  <si>
    <t>SUL</t>
  </si>
  <si>
    <t>K0B4</t>
  </si>
  <si>
    <t>ITABORAÍ</t>
  </si>
  <si>
    <t>MEDRAL</t>
  </si>
  <si>
    <t>K0B5</t>
  </si>
  <si>
    <t>PÁDUA</t>
  </si>
  <si>
    <t>NORTE</t>
  </si>
  <si>
    <t>K0B7</t>
  </si>
  <si>
    <t>K1B1</t>
  </si>
  <si>
    <t>PETRÓPOLIS</t>
  </si>
  <si>
    <t xml:space="preserve">COMPEL </t>
  </si>
  <si>
    <t>SERRANA</t>
  </si>
  <si>
    <t>K1B2</t>
  </si>
  <si>
    <t>TERESÓPOLIS</t>
  </si>
  <si>
    <t>COMPEL</t>
  </si>
  <si>
    <t>K1B3</t>
  </si>
  <si>
    <t>SÃO GONÇALO</t>
  </si>
  <si>
    <t>SOTER (R.A.)</t>
  </si>
  <si>
    <t>K1B5</t>
  </si>
  <si>
    <t>SÃO PEDRO</t>
  </si>
  <si>
    <t>DELTA</t>
  </si>
  <si>
    <t>K1B6</t>
  </si>
  <si>
    <t>MAGÉ</t>
  </si>
  <si>
    <t>K1B7</t>
  </si>
  <si>
    <t>ANGRA DOS REIS</t>
  </si>
  <si>
    <t>K1B8</t>
  </si>
  <si>
    <t>K1B9</t>
  </si>
  <si>
    <t>GEMON</t>
  </si>
  <si>
    <t>K2B0</t>
  </si>
  <si>
    <t>ITAPERUNA</t>
  </si>
  <si>
    <t>K2B1</t>
  </si>
  <si>
    <t>K2B2</t>
  </si>
  <si>
    <t>CANTAGALO</t>
  </si>
  <si>
    <t>NITERÓI</t>
  </si>
  <si>
    <t>NGS</t>
  </si>
  <si>
    <t>K3B0</t>
  </si>
  <si>
    <t>K3B1</t>
  </si>
  <si>
    <t>MARICÁ</t>
  </si>
  <si>
    <t>K3B2</t>
  </si>
  <si>
    <t>K3B3</t>
  </si>
  <si>
    <t>MACAÉ</t>
  </si>
  <si>
    <t>K3B4</t>
  </si>
  <si>
    <t>K3B5</t>
  </si>
  <si>
    <t>CABO FRIO</t>
  </si>
  <si>
    <t>K3B6</t>
  </si>
  <si>
    <t>K3B7</t>
  </si>
  <si>
    <t>K3B8</t>
  </si>
  <si>
    <t>K3B9</t>
  </si>
  <si>
    <t>K4B0</t>
  </si>
  <si>
    <t>K4B3</t>
  </si>
  <si>
    <t>K4B4</t>
  </si>
  <si>
    <t>K4B5</t>
  </si>
  <si>
    <t>K4B6</t>
  </si>
  <si>
    <t>K4B7</t>
  </si>
  <si>
    <t>JVP</t>
  </si>
  <si>
    <t>K4B8</t>
  </si>
  <si>
    <t>COMFICA</t>
  </si>
  <si>
    <t>K4B9</t>
  </si>
  <si>
    <t>BARRA DE SÃO JOÃO</t>
  </si>
  <si>
    <t>K0B0</t>
  </si>
  <si>
    <t>K1B4</t>
  </si>
  <si>
    <t>FICHA DE SOLICITAÇÃO DE MATERIAIS</t>
  </si>
  <si>
    <t>COMPEL II</t>
  </si>
  <si>
    <t>CB,ACO-CU,ATER,35MM²,D80502.0</t>
  </si>
  <si>
    <t>CAIXA,PROT SEC,POLIC, 30-125A</t>
  </si>
  <si>
    <t>FIX,AZ,CANT U,SPACER,D440.03</t>
  </si>
  <si>
    <t>BRAÇO,AF,H,1650MM,AZ,D45701.0</t>
  </si>
  <si>
    <t>CORD,AÇO,7,9MM,MR,D21203.0</t>
  </si>
  <si>
    <t>POSTE,13MX600DAN, CONCRETO DT</t>
  </si>
  <si>
    <t>PARAFUSO SEXT M12X150</t>
  </si>
  <si>
    <t>CONEC, TERM,CMP,MED,35MM2,</t>
  </si>
  <si>
    <t>ALCA PREF CAA 4AWG PM2276 TIP</t>
  </si>
  <si>
    <t>SECIONADOR,FUSIVEL,UNIPOLAR</t>
  </si>
  <si>
    <t>CONEC CUN AMARELA D6,539,02</t>
  </si>
  <si>
    <t>ALÇA OLHAL CB 336,4MCM-CAA NU</t>
  </si>
  <si>
    <t>CABO,CAA,336MCM,A,D21102.1</t>
  </si>
  <si>
    <t>DISJ,TERM,1P,100A,EBT004</t>
  </si>
  <si>
    <t>LAÇO PRE AÇO CAA 4AWG PM2276 T</t>
  </si>
  <si>
    <t>FUSIVEL,NH,125A,D13401.0</t>
  </si>
  <si>
    <t>PINO TOPO,ISOL PILAR,AÇO GALV</t>
  </si>
  <si>
    <t>POSTE,DT,12M,2000DAN,PM0055</t>
  </si>
  <si>
    <t>DISJ,TERM,1P,80A,EBT004</t>
  </si>
  <si>
    <t>OBRA</t>
  </si>
  <si>
    <t>GABRIEL</t>
  </si>
  <si>
    <t>CB,ACO-CU,ATER,16MM²,D80502.0</t>
  </si>
  <si>
    <t>CON,TER,TOR,35MM²,1F,D71063.0</t>
  </si>
  <si>
    <t>BAT,SEL,12V,24AH,TELEC,EBT010</t>
  </si>
  <si>
    <t>CORD,AÇO,9,5MM,MR,D21203.0</t>
  </si>
  <si>
    <t>ALCA PREF CAL 25MM² TIPO I PM2</t>
  </si>
  <si>
    <t>CB CU POT TRIP 8,7/15KV,240MM²</t>
  </si>
  <si>
    <t>CB CU POT UNIP 8,7/15KV,240MM²</t>
  </si>
  <si>
    <t>POSTE,DT,11M,1500DAN,PM0055</t>
  </si>
  <si>
    <t>POSTE,DT,13M,1000DAN,PM0055</t>
  </si>
  <si>
    <t>CONEC,ATERR,16-70MM2,D710.25</t>
  </si>
  <si>
    <t>TER,GAR,CU,ISOL,2,5MM,D77005.0</t>
  </si>
  <si>
    <t>LAÇO PRE AÇO CA 2AWG PM2276 TI</t>
  </si>
  <si>
    <t>POSTE,DT,13M,2000DAN,PM0055</t>
  </si>
  <si>
    <t>CB UNI,AL,ISOL,RD SUB BT400MM²</t>
  </si>
  <si>
    <t>ELETR RÍG DE AÇO ZINC 150</t>
  </si>
  <si>
    <t>ALMOXARIFADO DE MATERIAIS - COMPEL SG</t>
  </si>
  <si>
    <t>LAÇO PRE AÇO CA 1/0 PM2276 TIP</t>
  </si>
  <si>
    <t>CX BLIND MONO,BIF TQ RETANG</t>
  </si>
  <si>
    <t>CINTA POSTE CIRC. D350MM,DED-0</t>
  </si>
  <si>
    <t>CINTA POSTE CIRC. D390MM,DED-0</t>
  </si>
  <si>
    <t>CINTA,DT,AL,180MM,D90420.0</t>
  </si>
  <si>
    <t>PINO PARA ISOLADOR DE PINO DE</t>
  </si>
  <si>
    <t>Código</t>
  </si>
  <si>
    <t>Descrição</t>
  </si>
  <si>
    <t>ABRAÇADEIRA NYLON 203mm DDT-17</t>
  </si>
  <si>
    <t>ABRAÇADEIRA NYLON 390MM DDT-17</t>
  </si>
  <si>
    <t>ABRAÇADEIRA NYLON 760mm DDT-17</t>
  </si>
  <si>
    <t>ABRAÇADEIRA P/CB POTENCIA,DED-</t>
  </si>
  <si>
    <t>ALCA PRE PROT 185mm² PM2276 TI</t>
  </si>
  <si>
    <t>ALCA PRE CONC 16mm² PM2276 TIP</t>
  </si>
  <si>
    <t>ALCA PRE CONC.BI 10 PM2276 TIP</t>
  </si>
  <si>
    <t xml:space="preserve">ALCA PREF AAAC 25 PM2276 TIPO </t>
  </si>
  <si>
    <t xml:space="preserve">ALCA PREF AAAC 70 PM2276 TIPO </t>
  </si>
  <si>
    <t xml:space="preserve">ALCA PREF AAAC 50 PM2276 TIPO </t>
  </si>
  <si>
    <t>ALCA PRE CONC 10mm² PM2276 TIP</t>
  </si>
  <si>
    <t>ALCA PREF CAL 70mm² PM2276 TIP</t>
  </si>
  <si>
    <t>ALCA PRE AAAC 160mm²PM2276 TIP</t>
  </si>
  <si>
    <t>ALCA PRE AAAC 70mm² PM2276 TIP</t>
  </si>
  <si>
    <t>ALCA PRE AAAC 25mm² PM2276 TIP</t>
  </si>
  <si>
    <t>ALCA PRE AAAC 50mm² PM2276 TIP</t>
  </si>
  <si>
    <t>ALCA PREF CA 1/0 AWG PM2276 TI</t>
  </si>
  <si>
    <t>ALCA PRE CA 336,4MCM PM2276 TI</t>
  </si>
  <si>
    <t>ALCA PREF CA 2 AWG PM2276 TIPO</t>
  </si>
  <si>
    <t>ALCA PRE CONC.BI 16 PM2276 TIP</t>
  </si>
  <si>
    <t>ALCA PREF MR 7,9mm PM2276 TIPO</t>
  </si>
  <si>
    <t>ALCA PREF MR 9,5mm PM2276 TIPO</t>
  </si>
  <si>
    <t>ALCA PREF PROT 35mm² PM2276 TI</t>
  </si>
  <si>
    <t>ALCA PREF PROT 50mm² PM2276 TI</t>
  </si>
  <si>
    <t>ALCA,PREF ACO,CB PRE-REUN,50MM</t>
  </si>
  <si>
    <t>ALCA,PREF AÇO,CB CONC BIP 4MM,</t>
  </si>
  <si>
    <t>ALCA PREF CONC.BI 6 PM2276 TIP</t>
  </si>
  <si>
    <t>ALCA,PREF ACO,CB PRE-REUN 35MM</t>
  </si>
  <si>
    <t>ALÇA,PREF AÇO,CB PRE-REUN,95MM</t>
  </si>
  <si>
    <t>ALCA,PREF ACO,CB CONC BIP 6MM²</t>
  </si>
  <si>
    <t>ALCA,PREFORM.CB CA 4/0AWG,DQN-</t>
  </si>
  <si>
    <t>ANEL,AMARRAÇÃO,ISOLAD.PINO-DED</t>
  </si>
  <si>
    <t>ARMAÇÃO SEC. DUPLA LIGA AL.DED</t>
  </si>
  <si>
    <t>ARMAÇÃO SEC.SIMPLES;LIGA AL.DE</t>
  </si>
  <si>
    <t>ARMAÇÃO SECUNDÁRIA DUPLA,DED-0</t>
  </si>
  <si>
    <t>ARMAÇÃO SECUNDÁRIA SIMPLES, DE</t>
  </si>
  <si>
    <t>ARRUELA LIGA DE ALUMÍNIO DED-1</t>
  </si>
  <si>
    <t>ARRUELA LISA QUADRADA, DED-003</t>
  </si>
  <si>
    <t>BRAÇO TIPO ""C"", 580MM RC, PM</t>
  </si>
  <si>
    <t>BRAÇO TIPO ""L"", 354MM RC, DE</t>
  </si>
  <si>
    <t>BRAÇO,ANTI-BAL,SPACER,15KV,D53</t>
  </si>
  <si>
    <t>CANTONEIRA P/BRAÇO TIPO "C",DE</t>
  </si>
  <si>
    <t xml:space="preserve">CANTONEIRA P/BRAÇO TIPO ""C"" </t>
  </si>
  <si>
    <t>CINTA AJUST.POSTE,BAP2,800MM-D</t>
  </si>
  <si>
    <t>CINTA AJUST.POSTE,BAP3,1200MM-</t>
  </si>
  <si>
    <t>CINTA P/POSTE CIRC 290MM, DED-</t>
  </si>
  <si>
    <t>CINTA P/POSTE CIRC 310MM, DED-</t>
  </si>
  <si>
    <t>CINTA P/POSTE CIRC 330MM DED-0</t>
  </si>
  <si>
    <t>CINTA P/POSTE CIRC.150MM, DED-</t>
  </si>
  <si>
    <t>CINTA P/POSTE CIRC.170MM, DED-</t>
  </si>
  <si>
    <t>CINTA P/POSTE CIRC.210MM, DED-</t>
  </si>
  <si>
    <t>CINTA P/POSTE CIRC.230MM, DED-</t>
  </si>
  <si>
    <t>CINTA P/POSTE CIRC.250MM, DED-</t>
  </si>
  <si>
    <t>CINTA P/POSTE CIRC.270MM, DED-</t>
  </si>
  <si>
    <t>CINTA POSTE CIRC. AL190MM - BL</t>
  </si>
  <si>
    <t>CINTA POSTE CIRC. D190MM,DED-0</t>
  </si>
  <si>
    <t>CINTA POSTE CIRC.AL 170MM - BL</t>
  </si>
  <si>
    <t>CINTA POSTE CIRC.AL 180MM PM-1</t>
  </si>
  <si>
    <t>CINTA POSTE CIRC.AL 200MM PM-1</t>
  </si>
  <si>
    <t>CINTA POSTE CIRC.AL 210MM - BL</t>
  </si>
  <si>
    <t>CINTA POSTE CIRC.AL 220MM PM-1</t>
  </si>
  <si>
    <t>CINTA POSTE CIRC.AL 310MM PM-1</t>
  </si>
  <si>
    <t>CINTA, POSTE DT 140X180MM DED-</t>
  </si>
  <si>
    <t>CINTA, POSTE DT 160X210MM DED-</t>
  </si>
  <si>
    <t>CINTA, POSTE DT 180X240MM DED-</t>
  </si>
  <si>
    <t>CINTA, POSTE DT 200X260MM DED-</t>
  </si>
  <si>
    <t>ELETRODUTO PVC,SOLD,20MM, DDT1</t>
  </si>
  <si>
    <t>ESPACADOR LOSANG RC,15KV,PM176</t>
  </si>
  <si>
    <t>ETIQUETA IDENTIFICADORA N° 2,P</t>
  </si>
  <si>
    <t>ETIQUETA IDENTIFICADORA N°0,PM</t>
  </si>
  <si>
    <t>ETIQUETA IDENTIFICADORA N°1,PM</t>
  </si>
  <si>
    <t>ETIQUETA IDENTIFICADORA N°3,PM</t>
  </si>
  <si>
    <t>ETIQUETA IDENTIFICADORA N°4,PM</t>
  </si>
  <si>
    <t>ETIQUETA IDENTIFICADORA N°5,PM</t>
  </si>
  <si>
    <t>ETIQUETA IDENTIFICADORA N°6,PM</t>
  </si>
  <si>
    <t>ETIQUETA IDENTIFICADORA N°7,PM</t>
  </si>
  <si>
    <t>ETIQUETA IDENTIFICADORA N°8,PM</t>
  </si>
  <si>
    <t>ETIQUETA IDENTIFICADORA N°9,PM</t>
  </si>
  <si>
    <t>FITA ISOL. AT-0,76MM-19MMX10M,</t>
  </si>
  <si>
    <t>FITA,ABRAÇ.AÇO INOX,DQN-1964 R</t>
  </si>
  <si>
    <t>GRAMPO LINHA VIVA, DED- 0106 R</t>
  </si>
  <si>
    <t>GRAMPO SUSP TRI-ARTIC P/ CB AL</t>
  </si>
  <si>
    <t>HASTE ATERRAMENTO,ACO CU,5/8PO</t>
  </si>
  <si>
    <t>KIMANTA FITA AUTO ADERENTE ALU</t>
  </si>
  <si>
    <t>LAÇO MENS 7,9mm PM2276 TIPO XI</t>
  </si>
  <si>
    <t>LAÇO MENS 9,5mm PM2276 TIPO XI</t>
  </si>
  <si>
    <t>LAÇO PRE AÇO CAL 50 PM2276 TIP</t>
  </si>
  <si>
    <t>TORRES METÁLICAS DE AÇO PARA L</t>
  </si>
  <si>
    <t>LAÇO PRE AÇO CAL  70 PM2276 TI</t>
  </si>
  <si>
    <t>MANILHA, REDE COMPACTA, DED-17</t>
  </si>
  <si>
    <t>MAO FRANC.PERFIL LG AL,1971MM,</t>
  </si>
  <si>
    <t>MAO FRANC.PERFIL LG AL,2548MM,</t>
  </si>
  <si>
    <t>MÃO FRANC.PLANA C/619MM,DED-00</t>
  </si>
  <si>
    <t>MAO FRANCESA PERFIL LG AL,993M</t>
  </si>
  <si>
    <t>MAO FRANCESA PERFILADA,1534MM,</t>
  </si>
  <si>
    <t>MAO FRANCESA PERFILADA,1971MM,</t>
  </si>
  <si>
    <t>MAO FRANCESA PERFILADA,2548MM,</t>
  </si>
  <si>
    <t>MAO FRANCESA PERFILADA,993MM,P</t>
  </si>
  <si>
    <t>MÃO FRANCESA PLANA LIGA AL. DE</t>
  </si>
  <si>
    <t>PARAF.CAB.ABAU.45X38X16MM,DED-</t>
  </si>
  <si>
    <t>PARAF ROSC  DUP AL 400X175X16M</t>
  </si>
  <si>
    <t>PARAF ROSC DUP  AL 450X200X16M</t>
  </si>
  <si>
    <t>PARAF ROSC DUP AL 500X225X16MM</t>
  </si>
  <si>
    <t>PARAF ROSC DUP AL 550X250X16MM</t>
  </si>
  <si>
    <t>PARAF ROSC DUP AL 600X275X16MM</t>
  </si>
  <si>
    <t>PARAF ROSC DUPL 450X200X16MM D</t>
  </si>
  <si>
    <t>PARAF ROSC DUPL 500X225X16MM D</t>
  </si>
  <si>
    <t>PARAF ROSC DUPL 550X250X16MM D</t>
  </si>
  <si>
    <t>PARAF ROSC DUPL 600X275X16MM D</t>
  </si>
  <si>
    <t xml:space="preserve">PARAF ROSC DUPLA 400X175X16MM </t>
  </si>
  <si>
    <t>PARAF.CAB.QUA. AL 400X320X16MM</t>
  </si>
  <si>
    <t>PARAF,CAB.QUADR.450X370X16MM-D</t>
  </si>
  <si>
    <t>PARAF,CAB.QUADR.500X420X16MM-D</t>
  </si>
  <si>
    <t>PARAF.CAB.ABAU.70X60X16MM,DED-</t>
  </si>
  <si>
    <t>PARAF.CAB.QUA.125X80X16MM,DED-</t>
  </si>
  <si>
    <t>PARAF.CAB.QUA.300X220X16MM,DED</t>
  </si>
  <si>
    <t>PARAF.CAB.QUA.150X80X16MM,DED-</t>
  </si>
  <si>
    <t>PARAF.C.LIMÃO C/FENDA FE ZINC.</t>
  </si>
  <si>
    <t>PARAF.CAB.ABAU.150X75X16MM,DED</t>
  </si>
  <si>
    <t xml:space="preserve">PARAF.CAB.QUA. AL300X220X16MM </t>
  </si>
  <si>
    <t>PARAF.CAB.QUA.200X120X16MM,DED</t>
  </si>
  <si>
    <t>PARAF.CAB.QUA.250X170X16MM,DED</t>
  </si>
  <si>
    <t>PARAF.CAB.QUA.350X270X16MM DED</t>
  </si>
  <si>
    <t>PARAF.CAB.QUA.400X320X16MM,DED</t>
  </si>
  <si>
    <t>PARAF.CAB.QUAD AL150X80X16MM D</t>
  </si>
  <si>
    <t>PARAF.CAB.QUAD.50X35X16MM DED-</t>
  </si>
  <si>
    <t>PARAF.CAB.QUAD.AL 50X35X16MM D</t>
  </si>
  <si>
    <t>PARAF.CAB.QUAD.AL125X80X16MM D</t>
  </si>
  <si>
    <t xml:space="preserve">PARAF.CAB.QUAD.AL250X170X16MM </t>
  </si>
  <si>
    <t>PARAF.CAB.QUAD.LIGA AL 600X520</t>
  </si>
  <si>
    <t>PARAF.CABEÇA ABAUL.LIGA AL.DED</t>
  </si>
  <si>
    <t>PARAF.CABEÇA SEXT.AÇO INOX M12</t>
  </si>
  <si>
    <t xml:space="preserve">PARAF.SEXT.AÇO GALV.1/2(12MM) </t>
  </si>
  <si>
    <t xml:space="preserve">Parafuso (cabeça philips) 1/4 </t>
  </si>
  <si>
    <t>Parafuso de fenda fe m3 x 20mm</t>
  </si>
  <si>
    <t>PARAF.FENDA,CAB.PLANA 5,0X50MM</t>
  </si>
  <si>
    <t>PARAF.AUTO ATARRACHANTE,FE ZIN</t>
  </si>
  <si>
    <t>PARAF.CABÇ.CILÍND.FENDA FE ZIN</t>
  </si>
  <si>
    <t>PARAF.C.REDONDA 3/16X1/2p C/AR</t>
  </si>
  <si>
    <t>PARAFUSO, CABEÇA QUAD. LIGA AL</t>
  </si>
  <si>
    <t>PARAFUSO, CABECA SEXTAVADA AÇO</t>
  </si>
  <si>
    <t>PÁRA-RAIOS,12KV/10KA POLIM.DED</t>
  </si>
  <si>
    <t>PARASUFO CABEÇA SEXTAVADA EXTE</t>
  </si>
  <si>
    <t>SUPORTE MEDIÇAO EM CRUZETA,PM-</t>
  </si>
  <si>
    <t>PERFIL,""U"" 900MM,ACO, PM-195</t>
  </si>
  <si>
    <t>PINO CURTO ISOL.192X16MM RC DE</t>
  </si>
  <si>
    <t>PINO TOPO,ISOL PILAR,LIGA AL,P</t>
  </si>
  <si>
    <t>PINO,ISOLADOR PILAR,PM-1829 I2</t>
  </si>
  <si>
    <t>PRENSA-CABO ROSQ;CB3X7,9-9,6MM</t>
  </si>
  <si>
    <t>PRENSA-CABO ROSQ,CB 13-18MM,PM</t>
  </si>
  <si>
    <t>PRENSA-CABO ROSQ;CB 6-12MM,PM-</t>
  </si>
  <si>
    <t>PROTETOR BUCHA 15KV RD COMPACT</t>
  </si>
  <si>
    <t xml:space="preserve">PROTETOR ESTRI GRAMP LIN VIVA </t>
  </si>
  <si>
    <t>SAPATILHA,ESTAI, AÇO PM-0048 I</t>
  </si>
  <si>
    <t>SELA, CRUZETA LIGA ALUMÍNIO, D</t>
  </si>
  <si>
    <t>SUPOR TRAFO POSTE CIRC.225MM D</t>
  </si>
  <si>
    <t>SUPOR,TRAFO POSTE CIRC.210MM D</t>
  </si>
  <si>
    <t>SUPOR,TRAFO POSTE CIRC.255MM-D</t>
  </si>
  <si>
    <t>SUPORTE AFAST HORIZ (675X300MM</t>
  </si>
  <si>
    <t>SUPORTE AFAST HORIZ(1250X450MM</t>
  </si>
  <si>
    <t>SUPORTE P/SECCION UNIPOLAR;PM-</t>
  </si>
  <si>
    <t>SUPORTE PROLONG.CONCENTR.MEDIÇ</t>
  </si>
  <si>
    <t>SUPORTE,CH.C.CIRCUIT/P.RAIOS D</t>
  </si>
  <si>
    <t>SUPORTE,FIXAÇÃO RELE/REATOR,IP</t>
  </si>
  <si>
    <t>SUPORTE,TRANSF.POSTE DT160X210</t>
  </si>
  <si>
    <t>SUPORTE,TRANSF.POSTE DT170X230</t>
  </si>
  <si>
    <t>SUPORTE,TRANSF.POSTE DT180X250</t>
  </si>
  <si>
    <t>SUPORTE PARAFUSO,ABRAÇAD NYLON</t>
  </si>
  <si>
    <t>HASTE ATERRAMENTO GALVANIZADA,</t>
  </si>
  <si>
    <t>FITA ISOL PVC 0,18X19MMX20M,NB</t>
  </si>
  <si>
    <t xml:space="preserve">BARRAMENTO TRIFÁSICO DED-1842 </t>
  </si>
  <si>
    <t>ALCA PREF CAL 50mm² PM2276 TIP</t>
  </si>
  <si>
    <t>ALCA PREF CONC 6mm² PM2276 TIP</t>
  </si>
  <si>
    <t xml:space="preserve">TRAVA P/ ABRAÇADEIRA AÇO INOX </t>
  </si>
  <si>
    <t xml:space="preserve">CINTA, METÁLICA 12,5MM - ROLO </t>
  </si>
  <si>
    <t>HASTE ATERRAMENTO,ACO CU,3/4PO</t>
  </si>
  <si>
    <t>DUTO POLIETILENO 160MM,PM-1838</t>
  </si>
  <si>
    <t>DUTO POLIETILENO 200MM,PM-1838</t>
  </si>
  <si>
    <t>ALÇA OLHAL CB 185MM ISOLADO DE</t>
  </si>
  <si>
    <t>Eletroduto flexível 1</t>
  </si>
  <si>
    <t>BOTA SEGURANÇA PRETA 41-EMS06</t>
  </si>
  <si>
    <t>DISJ,TIPOVA6325/24,TRIPOLAR15K</t>
  </si>
  <si>
    <t>DISJ,15KV,1250A,25KA,ESE003</t>
  </si>
  <si>
    <t>DISJ,15KV,1600A,25KA,ESE003</t>
  </si>
  <si>
    <t>DISJ,15KV,2000A,25KA,ESE003</t>
  </si>
  <si>
    <t>DISJ,15KV,800A,25KA,ESE003</t>
  </si>
  <si>
    <t>DJ,15KV,2000A,SF6,3F,ESE003</t>
  </si>
  <si>
    <t>DISJUNTOR1250A-72,5KVTRIPALTA</t>
  </si>
  <si>
    <t>RELIGADOR,400A-15KV-10KA-E-MT</t>
  </si>
  <si>
    <t>DISJ,36KV,1250A,16KA,ESE003</t>
  </si>
  <si>
    <t>CUB,13,8KV,2500A,6PA,ESE008</t>
  </si>
  <si>
    <t>CUB,13,8KV,1600A,14PA,ESE008</t>
  </si>
  <si>
    <t>CUB,13,8KV,2000A,7PA,ESE008</t>
  </si>
  <si>
    <t>CUB,11,9KV,2500A,7PA,ESE008</t>
  </si>
  <si>
    <t>CUB,13,8KV,1600A,7PA,ESE008</t>
  </si>
  <si>
    <t>DISJUNTOR800A-15KVTRIPOUSOEXTE</t>
  </si>
  <si>
    <t>REL 280A 15KV AUTOM TRIPOL</t>
  </si>
  <si>
    <t>RELIGADOR, 400A-15KV, ELETR</t>
  </si>
  <si>
    <t>SECCIONALIZADOR AUTOMÁTICO</t>
  </si>
  <si>
    <t>DISJ,72,5KV,1250A,31KA,ESE002</t>
  </si>
  <si>
    <t>BATERIA,125VCC,100AH/10H,VENT</t>
  </si>
  <si>
    <t>POSTE,DT,13,5M,1200DAN,PM0055</t>
  </si>
  <si>
    <t>POSTE, CONCRETO CIRCULAR 11M X</t>
  </si>
  <si>
    <t>POSTE,21MX1200DAN,CO.CIRC,C.II</t>
  </si>
  <si>
    <t>POSTE CONC DT 10M X 150 D</t>
  </si>
  <si>
    <t>POSTE,DT,13M,1200DAN,PM0055</t>
  </si>
  <si>
    <t>POSTE,DT,16M,600DAN,PM0055</t>
  </si>
  <si>
    <t>POSTE,CIR,AZ,5M,30DAN,2E,D1744</t>
  </si>
  <si>
    <t>POSTE,CIR,AZ,7M,30DAN,2E,D1744</t>
  </si>
  <si>
    <t>CRUZETA CONC 100X100X1650 MM</t>
  </si>
  <si>
    <t>EST DE CONC SUPORTE DE PR</t>
  </si>
  <si>
    <t>ESTR CONC SUPORTE DE ISOLADOR</t>
  </si>
  <si>
    <t>ESTR CONC SUP DE TC/TP 34,5KV</t>
  </si>
  <si>
    <t>CABO AL NU 4 AWG CA</t>
  </si>
  <si>
    <t>CABO,CAA,795MCM,B,D21102.1</t>
  </si>
  <si>
    <t>CABO,CAA,336MCM,B,D21102.1</t>
  </si>
  <si>
    <t>CABO,CAA,477MCM,B,D21102.1</t>
  </si>
  <si>
    <t>CABO ELÉTRICO MULT AL ISOL</t>
  </si>
  <si>
    <t>CBPRE-REUN0,6/1KVAL3X70+50</t>
  </si>
  <si>
    <t>CABO, AÇO ZINCADO 5/16 HS FOR</t>
  </si>
  <si>
    <t>CBPRE-REU0,6/1KVCU3X10+10</t>
  </si>
  <si>
    <t>CB AL 50MM² PROT,MT,XLPE 15KV,</t>
  </si>
  <si>
    <t>CB AL 185MM² PROT,MT,XLPE,15KV</t>
  </si>
  <si>
    <t>CBMULTCUISOL2X16+16MM0,6/1</t>
  </si>
  <si>
    <t>CBDUPALXLPE1X35+1X350,6/1</t>
  </si>
  <si>
    <t>CBMULTCUISOL2X25+25MM0,6/1</t>
  </si>
  <si>
    <t>CONDUTCUISOL750V25MM²DED1</t>
  </si>
  <si>
    <t>CONDUTCUISOL750V35MM²DED1</t>
  </si>
  <si>
    <t>CONDUTCUISOL750V6MM²DED18</t>
  </si>
  <si>
    <t>CONDUTCUISOL750V10MM²DED1</t>
  </si>
  <si>
    <t>FIO,ELÉTR.CU ISOLADO-PVC P/750</t>
  </si>
  <si>
    <t>CBPRE-REUAL3X95+70MM²-8,7/15KV</t>
  </si>
  <si>
    <t>CBPRE-REUAL3X35+50MM²12/20</t>
  </si>
  <si>
    <t>CINTA,DT,AZ,345mm,D43506.0</t>
  </si>
  <si>
    <t>PRESILHA CIRC AO ZINC,2 CB 4B</t>
  </si>
  <si>
    <t>OLHAL PARA PARAFUSO,12000daN</t>
  </si>
  <si>
    <t>CONEC CUNHA DER ESTRIBO,CB50MM</t>
  </si>
  <si>
    <t>GAR-BOL,M16,12000daN,D51008.0</t>
  </si>
  <si>
    <t>CONECTORTCABO-CABO,PARACABA</t>
  </si>
  <si>
    <t>CONEC. COMPR.H AL/AL- AL/CU DE</t>
  </si>
  <si>
    <t>CONEC.COMPR.H AL/AL-AL/CU DED-</t>
  </si>
  <si>
    <t>CONEC.COMPR.H AL/AL-AL/CU DED</t>
  </si>
  <si>
    <t>CONEC.COMPR.H AL/AL, AL/CU DED</t>
  </si>
  <si>
    <t>GRAMP,266MCM,D73030.0</t>
  </si>
  <si>
    <t>GRAMPO,ANC,COMP,CAA 336MCM</t>
  </si>
  <si>
    <t>GRAMP,795CAA,D73030.0</t>
  </si>
  <si>
    <t>GRAMP,336CAA,D73030.0</t>
  </si>
  <si>
    <t>PARAF,SEX,INOX,M12X60MM</t>
  </si>
  <si>
    <t>CORDOALHA AÇO ZINC.9,5MM, PM-1</t>
  </si>
  <si>
    <t>LUVA REP.COMPRS,CB336,4MCM-CAA</t>
  </si>
  <si>
    <t>CORD AÇO ZINC 7,9MM PRPM1903I3</t>
  </si>
  <si>
    <t>PROLONG CONCH-GARF,AÇOF120Kn</t>
  </si>
  <si>
    <t>CONEC.DESM.PAS,DED0101I1,FP,SU</t>
  </si>
  <si>
    <t>ALCA,PREF.CU,CB PRE-REUN.10-16</t>
  </si>
  <si>
    <t>ALCA PREF CU CB PRE-REUN 35MM</t>
  </si>
  <si>
    <t>ALCA,PREF.CU,CB PRE-REUN.50MM²</t>
  </si>
  <si>
    <t>ALCA PREF.CU,CB PRE-REUN.70MM²</t>
  </si>
  <si>
    <t>PROL,GARF-GARF,FORJ,B=W3/4</t>
  </si>
  <si>
    <t>ISOLADOR,POLIM,CONCHA-BOLA,69K</t>
  </si>
  <si>
    <t>ISOL,DISC,295MM,ZN,D50031.0</t>
  </si>
  <si>
    <t>ISOL,PED,36KV,840MM,D50050.0</t>
  </si>
  <si>
    <t>ISOL,PED,17,5KV,406MM,D50050.0</t>
  </si>
  <si>
    <t>ISOLADOR PILAR HIBRIDO,PM-1798</t>
  </si>
  <si>
    <t>ISOLADOR PILAR POLIM/PORC/HIBR</t>
  </si>
  <si>
    <t>ISOL,SUP,MAC,POR,72KV,D50051.0</t>
  </si>
  <si>
    <t>ISOLADOR,ARMOULITE,LINEPOST138</t>
  </si>
  <si>
    <t>CH17,5KV-A34 1600A M T V -25KA</t>
  </si>
  <si>
    <t>ELEMENTO, PUNHO VARA MANOBRA S</t>
  </si>
  <si>
    <t>ELEMENTO, INTERMEDIÁRIO VARA M</t>
  </si>
  <si>
    <t>ELEMENTO, PONTA VARA MANOBRA S</t>
  </si>
  <si>
    <t>pára-raios distribuição 10,5kv</t>
  </si>
  <si>
    <t>CH17,5KV-A8-1250A M VERT-25KA</t>
  </si>
  <si>
    <t>CH,145KV,1250A,MO,V,&lt;10M,GSH03</t>
  </si>
  <si>
    <t>CH,145KV,1250A,H,&lt;6,GSH003</t>
  </si>
  <si>
    <t>CH,145KV,1250A,H,LT,&gt;10,GSH03</t>
  </si>
  <si>
    <t>CHAVE, FUSÍVEL RELIGADORA 15KV</t>
  </si>
  <si>
    <t>CH,145KV,1250A,H,LT,&lt;10,GSH03</t>
  </si>
  <si>
    <t>CH,145KV,1250A,H,&gt;10,GSH03</t>
  </si>
  <si>
    <t>CH,72KV,1250A,HOR,&gt;10,GSH03</t>
  </si>
  <si>
    <t>CH17,5KV-2000A-MONO VERT -25KA</t>
  </si>
  <si>
    <t>CH17,5KV-A12-630AMONOVERT-25KA</t>
  </si>
  <si>
    <t>CH,72KV,1250A,MOT,LT,&gt;10,GSH03</t>
  </si>
  <si>
    <t>CH,72KV,1250A,VER,LT,&lt;10,GSH03</t>
  </si>
  <si>
    <t>CH,72KV,1250A,HOR,LT,&lt;6,GSH03</t>
  </si>
  <si>
    <t>CH,72KV,1250A,H,MOT,&gt;10,GSH03</t>
  </si>
  <si>
    <t>CH,145KV,1250A,V,LT,&lt;10,GSH03</t>
  </si>
  <si>
    <t>CH,72KV,1250A,VER,&lt;6,GSH03</t>
  </si>
  <si>
    <t>CH,72KV,1250A,HOR,MOT,&lt;6,GSH03</t>
  </si>
  <si>
    <t>CH,72KV,1250A,HOR,&lt;10,GSH03</t>
  </si>
  <si>
    <t>CH,72KV,1250A,MOT,LT,&lt;6,GSH03</t>
  </si>
  <si>
    <t>CH,72KV,1250A,VER,&lt;10,GSH03</t>
  </si>
  <si>
    <t>CH,72KV,1250A,HOR,LT,&gt;10,GSH03</t>
  </si>
  <si>
    <t>CHA21 1600A-15KVSECC TRIP MOTO</t>
  </si>
  <si>
    <t>CH17,5KVA221250AMANTRIPVERTICA</t>
  </si>
  <si>
    <t>CH17,5KV-A26-1600A M VERT-25KA</t>
  </si>
  <si>
    <t>CH17,5KVCONJUG1600AINCLI25KA</t>
  </si>
  <si>
    <t>CH36KVA1-630AMAN-TRIP-CENT16KA</t>
  </si>
  <si>
    <t>CH36KVA2630A MTRIP CT 16KA-C/L</t>
  </si>
  <si>
    <t>CH17,5KVA3-2000A-M TRIP-V 25KA</t>
  </si>
  <si>
    <t>CH17,5KV-A42000AMOTTRIPVERT25K</t>
  </si>
  <si>
    <t>CH17,5KVA7-2000A-MONO-INV 25KA</t>
  </si>
  <si>
    <t>CH,72KV,1250A,H,&lt;10,GSH003</t>
  </si>
  <si>
    <t>CH,72KV,1250A,H,MOT,&lt;10,GSH03</t>
  </si>
  <si>
    <t>CH17,5KV-A101250AMONOTANDEMVER</t>
  </si>
  <si>
    <t>CH17,5KVA35-1250AMANTRIPVERTIC</t>
  </si>
  <si>
    <t>PR,POLIM,30KV,ZNO,10KA,ESE012</t>
  </si>
  <si>
    <t>PR,POLIM,60KV,ZNO,10KA,ESE012</t>
  </si>
  <si>
    <t>CHAVE CORTA 50A BASE TIPO A</t>
  </si>
  <si>
    <t>CH FUSIV TIPOC 15,5kV -100A PM</t>
  </si>
  <si>
    <t>SECCIONALIZADOR,ELETR.UNIPOL-D</t>
  </si>
  <si>
    <t>PR,POLIM,12KV,ZNO,10KA,ESE012</t>
  </si>
  <si>
    <t>CH,145KV,1250A,V,&lt;10,GSH003</t>
  </si>
  <si>
    <t>CH,145KV,1250A,MOT,LT,GSH003</t>
  </si>
  <si>
    <t>CH17,5KVA13-630A-MONO-INV-25KA</t>
  </si>
  <si>
    <t>CH17,5KVA6-630A-M TRIP-V/H-25K</t>
  </si>
  <si>
    <t>CH,145KV,1250A,V,&lt;6,GSH003</t>
  </si>
  <si>
    <t>CH,145KV,1250A,H,&lt;10,GSH003</t>
  </si>
  <si>
    <t>ELETRODUTO,PVC RÍGIDO 32MMX3M</t>
  </si>
  <si>
    <t>CURVA, PVC RIGIDO 32MM 90 GRA</t>
  </si>
  <si>
    <t>CURVA, PVC RIGIDO 32MM 180 GRA</t>
  </si>
  <si>
    <t>LUMINAR,FECH,LAMP VM/VS DED007</t>
  </si>
  <si>
    <t>LUMINARIA,ABERT,LAMP VM-DED007</t>
  </si>
  <si>
    <t>LUMINARIA ABERTA,LAMP VS 70W-D</t>
  </si>
  <si>
    <t>VOLT-AMPERÍMETRO TIPO ALICATE</t>
  </si>
  <si>
    <t>RELIGADOR, 800A-15KV, AUTOM</t>
  </si>
  <si>
    <t>CHAVE, COMANDO BANCO CAPACITOR</t>
  </si>
  <si>
    <t>SECCION,TRIF,15KV-630A-AMB N</t>
  </si>
  <si>
    <t>CAIXA, JUNCÃO P/BANCO DE CAPAC</t>
  </si>
  <si>
    <t>REG,TENS,19KV,667KVA,ETA001</t>
  </si>
  <si>
    <t>REGULADOR, TENSAO AUTOMATICO M</t>
  </si>
  <si>
    <t>REGULADOR, TENSAO</t>
  </si>
  <si>
    <t>REG,TENS,7,6KV,416KVA,ETA001</t>
  </si>
  <si>
    <t>REG,TENS,7,6KV,250KVA,ETA001</t>
  </si>
  <si>
    <t>REG,TENS,7,6KV,833KVA,ETA001</t>
  </si>
  <si>
    <t>REG,TENSÃO,7,6KV,167KVA,EMT008</t>
  </si>
  <si>
    <t>CAPAC,POT,200KVAR,6KV,ETA161.0</t>
  </si>
  <si>
    <t>CAPAC,POT,100KVAR,6KV,ETA161.0</t>
  </si>
  <si>
    <t>CAP,POT,200KVAR,7,9KV,ETA161.0</t>
  </si>
  <si>
    <t>CAP,POT,100KVAR,7,9KV,ETA161.0</t>
  </si>
  <si>
    <t>TEMPORIZADOR, DIGITAL, ALIMENT</t>
  </si>
  <si>
    <t>TUBO,AL,1.1/2POL,PM2245.0</t>
  </si>
  <si>
    <t>TUBO,CU,1.1/2POL,PM2246.0</t>
  </si>
  <si>
    <t>TUBO,CU,1POL,PM2246.0</t>
  </si>
  <si>
    <t>TUBO,CU,3/4POL,PM2246.0</t>
  </si>
  <si>
    <t>FITA ISOL.ELETRICA AT-0,76MM-1</t>
  </si>
  <si>
    <t>CAPA,PROT,CONEC CUNHA,T336-D33</t>
  </si>
  <si>
    <t>CHAVE FENDA,HASTE ISOL,PVC,600</t>
  </si>
  <si>
    <t>MACA,AÇO,TIPOS,TAMANHOS</t>
  </si>
  <si>
    <t>POSTE, MADEIRA INSERVÍVEL-NO E</t>
  </si>
  <si>
    <t>CRUZETA MAD INSERVIVEL-NO ESTA</t>
  </si>
  <si>
    <t>MEDIDOR DIV TIPOS INSERVIVEL-N</t>
  </si>
  <si>
    <t>REATOR, LAMPADA DE DESCARGA-SU</t>
  </si>
  <si>
    <t>RELE FOTOELETRICO - RESIDUOS E</t>
  </si>
  <si>
    <t>CRUZETA CONC DIV TAM INSERVIVE</t>
  </si>
  <si>
    <t>CHAVE,SEC,TRIP,DIV,INSE</t>
  </si>
  <si>
    <t>CHAVE C-CIRCUITO DIV TIPOS-SUC</t>
  </si>
  <si>
    <t>PARA-RAIOS, DIVERSOS TIPOS INS</t>
  </si>
  <si>
    <t>ISOLADOR, DISCO DIV TIPOS INSE</t>
  </si>
  <si>
    <t>ISOLADOR, DIV.TIPO INSERVIVEL</t>
  </si>
  <si>
    <t>DISJUNT,TERMOMAG.DIV.TIPOS/CAP</t>
  </si>
  <si>
    <t>CAIXA, PLÁSTICA DIV. TIPOS E T</t>
  </si>
  <si>
    <t>BARRAMENTO, LIGAÇÃO DIV. CAPAC</t>
  </si>
  <si>
    <t>PARAFUSO E FERRAGEM ZINCADO SU</t>
  </si>
  <si>
    <t>FIO E CORDOALHA ACO DIVERSOS T</t>
  </si>
  <si>
    <t>POSTE, FE OXIDADO DIV TAMANHOS</t>
  </si>
  <si>
    <t>FIO E CABO, AL NU S/ALMA ACO D</t>
  </si>
  <si>
    <t>BRONZE SUCATA - C/RESIDUOS E S</t>
  </si>
  <si>
    <t>FIO E CABO CU NU - DIV TIPOS -</t>
  </si>
  <si>
    <t>TUBO BARRA E PECAS DIVERSAS CU</t>
  </si>
  <si>
    <t>FIO E CABO, ALUMINIO ISOLADO-</t>
  </si>
  <si>
    <t>TUBO, PEÇA, LUMINÁRIA, EM ALUM</t>
  </si>
  <si>
    <t>FIO E CABO, AL NU C/ALMA ACO D</t>
  </si>
  <si>
    <t>BASE LAMP AL/LATAO C/RESIDUOS</t>
  </si>
  <si>
    <t>FIO E CABO, COBRE ISOLADO-DIVE</t>
  </si>
  <si>
    <t>BASE PARA RELE FOTOELETRICO RE</t>
  </si>
  <si>
    <t>SECCIONALIZADOR,ELETR.UNIP.-DE</t>
  </si>
  <si>
    <t>CONEC CUNHA DER ESTRIB,CB185MM</t>
  </si>
  <si>
    <t>RELIG,MICR,15KV,12,5,560A,EMT4</t>
  </si>
  <si>
    <t>BAT,SE,DIV TIPOS,CAPAC,SUCATA</t>
  </si>
  <si>
    <t>FIOS E CORDOALHAS CU DIV.TIPOS</t>
  </si>
  <si>
    <t>BAT,VIAT,DIV TIPOS,CAPAC</t>
  </si>
  <si>
    <t>PINO PARA ISOL PILAR 34,5KV</t>
  </si>
  <si>
    <t>EST DE CONC SUP DE SECCION</t>
  </si>
  <si>
    <t>CHAVE P/PARAF.SEGURANÇA SEIS P</t>
  </si>
  <si>
    <t>CX MEDIDOR POLIF.C/VISOR,PM-20</t>
  </si>
  <si>
    <t>CHAVE DE AFERIÇÃO DQN-2024 R.</t>
  </si>
  <si>
    <t>TRANSFORMADOR DE CORRENTE DIVE</t>
  </si>
  <si>
    <t>RELÉ SOBRECORRENTE INSERVÍVEL</t>
  </si>
  <si>
    <t>CX,LIG,DIV TIPOS,TAM</t>
  </si>
  <si>
    <t>ELEMENTO VARA MANOBRA DIV TIPO</t>
  </si>
  <si>
    <t>CANTONEIRA FE ZINC DIV TAM-SUC</t>
  </si>
  <si>
    <t>TUBO DE AÇO DIVERSOS TAMANHOS</t>
  </si>
  <si>
    <t>CÂMARA,AR,INSERVIVEL,SUCATA</t>
  </si>
  <si>
    <t>CB DE FIB OPT TIPO RRUS CAIXAC</t>
  </si>
  <si>
    <t>CAPAC,DIV TIPOS,CAPAC INSERV</t>
  </si>
  <si>
    <t>TRAFO,POTENCIAL,DIVERSOS</t>
  </si>
  <si>
    <t>RELIG,DIST,TRIP,DIVERSOS</t>
  </si>
  <si>
    <t>DISJ,TRIP,DIV TIPOS,CAPAC</t>
  </si>
  <si>
    <t>FITA MASTIC,ISOLANTE 4,2</t>
  </si>
  <si>
    <t>MEDIDOR 3 FASES ELETROMEC.-4FI</t>
  </si>
  <si>
    <t>CJ MED SHUNT 120V CALIB,SHUNT</t>
  </si>
  <si>
    <t>UNID REM COLETA DADOS C/ISOL B</t>
  </si>
  <si>
    <t>CAIXA P/MEDIDOR MONOF.C/VISOR,</t>
  </si>
  <si>
    <t>CX.P/MEDIDOR POLIF.200A - DQN-</t>
  </si>
  <si>
    <t>CBAL185MM²PROT,MT,XLPE36KV</t>
  </si>
  <si>
    <t>AVISO DE RISCO ELETRICO,DQN-21</t>
  </si>
  <si>
    <t>CP SGPMII 120V TCONV C/SPT PRE</t>
  </si>
  <si>
    <t>CB,AAAC,200MM²,D21103.0</t>
  </si>
  <si>
    <t>CUB,13,8KV,2500A,12PA,ESE008</t>
  </si>
  <si>
    <t>BC,CAP,13,8KV,4,8MVAR,ESE009</t>
  </si>
  <si>
    <t>ISOL SUP,CH FUS 300MM ESCOAM,P</t>
  </si>
  <si>
    <t>PAINEL DE SERV AUX CA/CC</t>
  </si>
  <si>
    <t>MEDIDOR SIMPLES+MODULO CORTE/R</t>
  </si>
  <si>
    <t>GRAMP,160CAL,D73030.0</t>
  </si>
  <si>
    <t>RELIG TRIP I VÁCUOSF6-800A16KA</t>
  </si>
  <si>
    <t>TP,34,5KV,A10,ESE007</t>
  </si>
  <si>
    <t>ELETRODUTO,FLEX PVC,DN=50MM,DE</t>
  </si>
  <si>
    <t>CONEC CUNHA DER ESTRIBO,CB35MM</t>
  </si>
  <si>
    <t>CB AL 35MM² PROT,MT,XLPE 15KV,</t>
  </si>
  <si>
    <t>MODULO CONTROLE LEITURA - Vs 0</t>
  </si>
  <si>
    <t>CUB,A1,17KV,2500A,11P,ESE008</t>
  </si>
  <si>
    <t>BC,CAP,11,95KV,4,8MVAR,ESE009</t>
  </si>
  <si>
    <t>TC,34,5KV,A7,ESE007</t>
  </si>
  <si>
    <t>CABO,CAA,266MCM,B,D21102.1</t>
  </si>
  <si>
    <t>CH36KV630AMOT-TRIP-C-VERT-16KA</t>
  </si>
  <si>
    <t>CABO,CAA,4/0AWG,B,D21102.1</t>
  </si>
  <si>
    <t>GRAMPO,ANC,PASS,CB CAA 18-26MM</t>
  </si>
  <si>
    <t>CHAVEFUS,34,5KV200ANBI200KVHXO</t>
  </si>
  <si>
    <t>GRAMPO,ANC,PASS,CB CAA 10-24MM</t>
  </si>
  <si>
    <t>CONCHA-OLHAL AÇO GALV</t>
  </si>
  <si>
    <t>MEDIDOR CORRENTE 500KV,60-50HZ</t>
  </si>
  <si>
    <t>REG,TENSãO,TIPOS,SUCATA</t>
  </si>
  <si>
    <t>CJ TRANSF MEDIÇÃO MT 200/400A,</t>
  </si>
  <si>
    <t>CAIXA CONCEN MED,EXT,PM-2117</t>
  </si>
  <si>
    <t>GRAMPO DE SUSPENSÃO 4/0 CAA</t>
  </si>
  <si>
    <t>CONEC.TERM. OLHAL ISOL, 25MM2,</t>
  </si>
  <si>
    <t>CONEC.TERM. OLHAL ISOL, 35MM2,</t>
  </si>
  <si>
    <t>CONEC.TERM. OLHAL ISOL, 2,5MM2</t>
  </si>
  <si>
    <t>MÓDULO DE MEDIDA</t>
  </si>
  <si>
    <t>CONEC TERM (FIBRA ÓPTICA) DISP</t>
  </si>
  <si>
    <t>CUB,11,9KV,2500A,5PA,ESE008</t>
  </si>
  <si>
    <t>CUB,11,9KV,2500A,11PA,ESE008</t>
  </si>
  <si>
    <t>GRAMPO SUSPENSÃO 336,4CAA</t>
  </si>
  <si>
    <t>CUB,11,9KV,2500A,21PA,ESE008</t>
  </si>
  <si>
    <t>CUB,13,8KV,1600A,6PA,ESE008</t>
  </si>
  <si>
    <t>POSTE CONC.CIRC,18MX1500DAN,29</t>
  </si>
  <si>
    <t>MEDIDOR,21CN,2,5(10),AC/DC</t>
  </si>
  <si>
    <t>CUB,A2,17KV,2500A,4P,ESE008</t>
  </si>
  <si>
    <t>REG,TENS,7,6KV,509KVA,ETA001</t>
  </si>
  <si>
    <t>GRAMP,1/0AWG,D73030.0</t>
  </si>
  <si>
    <t>CUB,A3,17KV,2500A,3P,ESE008</t>
  </si>
  <si>
    <t>SUPORTE L PROLONGADO</t>
  </si>
  <si>
    <t>CJT 3 ELEM.TRANSF.MED.MT,15A,P</t>
  </si>
  <si>
    <t>CJT 3 ELEM.TRANSF.MED.MT,20A,P</t>
  </si>
  <si>
    <t>CABO,AAAC,ENG,160MM²,D21103.0</t>
  </si>
  <si>
    <t>POSTE,CC,13M,600DAN,DED0054</t>
  </si>
  <si>
    <t>CA 100X100X6,5X2600</t>
  </si>
  <si>
    <t>ALÇA PREF LIGA AL,160MM²</t>
  </si>
  <si>
    <t>BC,CAP,11,95KV,9,6MVAR,ESE009</t>
  </si>
  <si>
    <t>UNIDADE TERM REMOTA,12VCC,USO</t>
  </si>
  <si>
    <t>BC,CAP,13,8KV,9,6MVAR,ESE009</t>
  </si>
  <si>
    <t>SECC TRIP,VACUO,15KV-400A,125</t>
  </si>
  <si>
    <t>MED ELEC 3F ACT/REAC 30(200)A</t>
  </si>
  <si>
    <t>CABO,CAA,556MCM,B,D21102.1</t>
  </si>
  <si>
    <t>ESTRCONC TC72,5kV3,70MPOC052A3</t>
  </si>
  <si>
    <t>ESTR CONCSEC72,5kV3,70MVGDIST2</t>
  </si>
  <si>
    <t>MED ,TRIF,ELETRONIC,PORT OPT</t>
  </si>
  <si>
    <t>TUBO,AL,3/4POL,PM2245.0</t>
  </si>
  <si>
    <t>TUBO,AL,1POL,PM2245.0</t>
  </si>
  <si>
    <t>TUBO,CU,2POL,PM2246.0</t>
  </si>
  <si>
    <t>TUBO,CU,2.1/2POL,PM2246.0</t>
  </si>
  <si>
    <t>MONITOR,REMOTO DE RAMAIS,D1431</t>
  </si>
  <si>
    <t>TUBO,AL,2POL,PM2245.0</t>
  </si>
  <si>
    <t>TUBO,AL,2.1/2POL,PM2245.0</t>
  </si>
  <si>
    <t>TUBO,AL,3POL,PM2245.0</t>
  </si>
  <si>
    <t>QUADRO DE SERVAUXILIAREXTETA</t>
  </si>
  <si>
    <t>CONCENT SECUND,TRIF,120VCS9701</t>
  </si>
  <si>
    <t>CONCENTRADOR PRIM S/MODEM 120V</t>
  </si>
  <si>
    <t>RETIFICADORTRIF220VCA/125VCC</t>
  </si>
  <si>
    <t>RETIFICADORTRIF,220VCA/125VCC</t>
  </si>
  <si>
    <t>BATERIA,48VCC,50AH/10H,VLRA</t>
  </si>
  <si>
    <t>BATERÍAS-BATERIA,125VCC,100AH</t>
  </si>
  <si>
    <t>BATERIA,125VCC,200AH/10H,VLRA</t>
  </si>
  <si>
    <t>TERMINAL LEITURA IHD,RF,120V</t>
  </si>
  <si>
    <t>CJ MED SHUNT 120V 100A CALIB S</t>
  </si>
  <si>
    <t>CJ MED 120V SGPMII -SHL6.3a'C/</t>
  </si>
  <si>
    <t>MEDELETR SAGA2000-E650INDRFEXT</t>
  </si>
  <si>
    <t>MEDIDOR ELETR SAGA2000-E650 DI</t>
  </si>
  <si>
    <t>PROT EMEND ANT FURT CONEC PERF</t>
  </si>
  <si>
    <t>CJT 3 ELEM.TRANSF.MED.MT15 A R</t>
  </si>
  <si>
    <t>CJT 3 ELEM.TRANSF.MED.MT20 A R</t>
  </si>
  <si>
    <t>CJT3ELEM.TRANSMEDMT 50/100 A R</t>
  </si>
  <si>
    <t>CINTA,POSTE CIRC 400MM,D</t>
  </si>
  <si>
    <t>Poste Conc. Circ 21mx1500daN</t>
  </si>
  <si>
    <t>CHAVE A OLEO ABERTURA</t>
  </si>
  <si>
    <t>MT sez. Del cavo 35/150</t>
  </si>
  <si>
    <t>FITA AUTO-ADERENTE ALUMINIZADA</t>
  </si>
  <si>
    <t>seccionadora unipolar de distr</t>
  </si>
  <si>
    <t>CALÇA/RET Á CHAMAM-42-44EMS75</t>
  </si>
  <si>
    <t>CALÇA/ RET Á CHAMAG46-48EMS75</t>
  </si>
  <si>
    <t>CALÇA/ RET Á CHAMAGG5052EMS75</t>
  </si>
  <si>
    <t>CALÇAS/RET Á CHAMAG46-48EMS73</t>
  </si>
  <si>
    <t>CAMISA/RETARD A CHAMANº03EMS76</t>
  </si>
  <si>
    <t>CAMISA/RETARD A CHAMANº04EMS76</t>
  </si>
  <si>
    <t>CAMISA/RETARD A CHAMANº05EMS76</t>
  </si>
  <si>
    <t>BRAÇO,35KV,L,SP,D45601.0</t>
  </si>
  <si>
    <t>EST METÁLICAS PARA SUBESTAÇÕES</t>
  </si>
  <si>
    <t>TP 15KV 11500/ 115V USO INT.</t>
  </si>
  <si>
    <t>PR,POLIM,120KV,ZNO,10KA,ESE012</t>
  </si>
  <si>
    <t>BC,CAP,34,5KV,2,4MVAR,ESE009</t>
  </si>
  <si>
    <t>POSTE,14MX1000DAN,CONC.CIRC,DE</t>
  </si>
  <si>
    <t>POSTE,14MX600DAN,CONC.CIRC,DE</t>
  </si>
  <si>
    <t>CB AL 50MM² PROT,MT,XLPE 34,5K</t>
  </si>
  <si>
    <t>PINO PARA ISOLADOR DE PINO CRU</t>
  </si>
  <si>
    <t>POSTE,14MX2000DAN,CONC.CIRC,DE</t>
  </si>
  <si>
    <t>POSTE,15MX600DAN,CONC.CIRC,DE</t>
  </si>
  <si>
    <t>POSTE 19MX1000DAN,CONC.CIRC,DE</t>
  </si>
  <si>
    <t>CABO PRE-REUN AL,3X25+35mm²</t>
  </si>
  <si>
    <t>POSTE,DT,4M,600DAN,PM0055</t>
  </si>
  <si>
    <t>POSTE CONC DT 13,50M/1200DAN</t>
  </si>
  <si>
    <t>EST CONC SUPORTE SECCION 36KV</t>
  </si>
  <si>
    <t>POSTE,DT,9M,600DAN,PM0055</t>
  </si>
  <si>
    <t>POSTE,DT,11M,1000DAN,PM0055</t>
  </si>
  <si>
    <t>POSTE,DT,12M,1000DAN,PM0055</t>
  </si>
  <si>
    <t>POSTE,DT,15M,1000DAN,PM0055</t>
  </si>
  <si>
    <t>POSTE,DT,15M,2000DAN,PM0055</t>
  </si>
  <si>
    <t>POSTE,DT,18M,1000DAN,PM0055</t>
  </si>
  <si>
    <t>POSTE,DT,18M,2000DAN,PM0055</t>
  </si>
  <si>
    <t>POSTE,DT,20M,1000DAN,PM0055</t>
  </si>
  <si>
    <t>POSTE,DT,20M,2000DAN,PM0055</t>
  </si>
  <si>
    <t>MEDELETGDTRI15120A120V3E4F60HZ</t>
  </si>
  <si>
    <t>GRAMP,556CAA,D73030.0</t>
  </si>
  <si>
    <t>CP SGP+MIII120V915MHZGPRSNACPD</t>
  </si>
  <si>
    <t>CSSGP+MIIITRI310120VRF7M1BITPD</t>
  </si>
  <si>
    <t>TERMLEIT120V1,05S/60HZ</t>
  </si>
  <si>
    <t>MED ELETR,POLIF,E650,INDIRETO</t>
  </si>
  <si>
    <t>MED ELETR,POLIF,E650,DIRETO</t>
  </si>
  <si>
    <t>DISPOSITIVO P/CORTE NO DISJ</t>
  </si>
  <si>
    <t>AMPA INTERNA REDONDA</t>
  </si>
  <si>
    <t>CONJ MÓDULO RFC410PARASGP+MIII</t>
  </si>
  <si>
    <t>GRAMP,4/0AWG,D73030.0</t>
  </si>
  <si>
    <t>CONCENT SECUND P/12MED.SHUNTS</t>
  </si>
  <si>
    <t>MODULO DE MEDIDA MONOFASICO EL</t>
  </si>
  <si>
    <t>MEDIDOR PARA BALANÇO ENERGÉTIC</t>
  </si>
  <si>
    <t>ANILHA PARA IDENT DE RAMAL Nº0</t>
  </si>
  <si>
    <t>ANILHA PARA IDENT DE RAMAL Nº1</t>
  </si>
  <si>
    <t>ANILHA PARA IDENT DE RAMAL Nº2</t>
  </si>
  <si>
    <t>ANILHA PARA IDENT DE RAMAL Nº3</t>
  </si>
  <si>
    <t>ANILHA PARA IDENT DE RAMAL Nº4</t>
  </si>
  <si>
    <t>ANILHA PARA IDENT DE RAMAL Nº5</t>
  </si>
  <si>
    <t>ANILHA PARA IDENT DE RAMAL Nº6</t>
  </si>
  <si>
    <t>ANILHA PARA IDENT DE RAMAL Nº7</t>
  </si>
  <si>
    <t>ANILHA PARA IDENT DE RAMAL Nº8</t>
  </si>
  <si>
    <t>ANILHA PARA IDENT DE RAMAL Nº9</t>
  </si>
  <si>
    <t>MED BALANÇO ENERG TRI DIRETO</t>
  </si>
  <si>
    <t>ESP,LOS,C/TRAV,FB15KV,D53001.0</t>
  </si>
  <si>
    <t>ESP,LOS,SP,15KV,1F,D53001.0</t>
  </si>
  <si>
    <t>ELETRODUTO FLEXÍVEL 1 1/4P</t>
  </si>
  <si>
    <t>CB,ACO-CU,ATER,6MM²,D80502.0</t>
  </si>
  <si>
    <t>CB,ACO-CU,ATER,10MM²,D80502.0</t>
  </si>
  <si>
    <t>CB,ACO-CU,ATER,70MM²,D80502.0</t>
  </si>
  <si>
    <t>CB,ACO-CU,ATER,120MM²,D80502.0</t>
  </si>
  <si>
    <t>CONECTOR,TERM,PINO,1X35-185,M1</t>
  </si>
  <si>
    <t>CONECTOR,COMPRESS,AL,35MM2,MT</t>
  </si>
  <si>
    <t>CONECTOR,COMPRESS,AL,50MM2</t>
  </si>
  <si>
    <t>CONECTOR,COMPRESS,AL,95MM2,MT</t>
  </si>
  <si>
    <t>conectori per conduttori 150</t>
  </si>
  <si>
    <t>EMENDA LIGA ALMT ISOL35-150MM2</t>
  </si>
  <si>
    <t>SECCIONADORA TRIP 24kV 400 A</t>
  </si>
  <si>
    <t>SUPORTE,FIXAÇÃO,CIRC,140-210MM</t>
  </si>
  <si>
    <t>SUPORTE,FIXAÇÃO,CIRC,200-280MM</t>
  </si>
  <si>
    <t>SUPORTE,FIXAÇÃO,CIRC,260-340MM</t>
  </si>
  <si>
    <t>SUPORTE,CONEXÃO,AZ,D42801.0</t>
  </si>
  <si>
    <t>SUPORTE,TERMINAL,EXT,UNIP,AZ</t>
  </si>
  <si>
    <t>SUPORTE,FIXAÇÃO,TIPO 1,AZ,DT</t>
  </si>
  <si>
    <t>SUPORTE,FIXAÇÃO,TIPO 2,AZ,DT</t>
  </si>
  <si>
    <t>SUPORTE,FIXAÇÃO,TIPO 3,AZ,DT</t>
  </si>
  <si>
    <t>SUPORTE,FIXAÇÃO,TIPO 4,AZ,DT</t>
  </si>
  <si>
    <t>CABO,MT,AL,XLPE,3X150+50,3F,12</t>
  </si>
  <si>
    <t>CONJUNTO,GRAMPO DE ANCORAGEM,D</t>
  </si>
  <si>
    <t>EMENDA,COMPRESSINÓXSUST,50MM2</t>
  </si>
  <si>
    <t>GRAMPO DE SUSPENSÃO</t>
  </si>
  <si>
    <t>SUPORTE,SUSP, CIRC,140-210MM</t>
  </si>
  <si>
    <t>SUPORTE,SUSP, CIRC,200-290MM</t>
  </si>
  <si>
    <t>SUPORTE,SUSP,SUST,A140,B110</t>
  </si>
  <si>
    <t>SUPORTE,SUSP,SUST,A182,B140</t>
  </si>
  <si>
    <t>SUPORTE,SUSP,SUST,A110,B140</t>
  </si>
  <si>
    <t>SUPORTE,SUSP,SUST,A140,B182</t>
  </si>
  <si>
    <t>CONECTOR,COMPR,BIM,PINO,35MM2</t>
  </si>
  <si>
    <t>CONECTOR,COMPR,BIM,PINO,50MM2</t>
  </si>
  <si>
    <t>CONECTOR,COMPR,BIM,PINO,70MM2</t>
  </si>
  <si>
    <t>CONECTOR,COMPR,BIM,PINO,95MM2</t>
  </si>
  <si>
    <t>CONECTOR,COMPR,BIM,PINO,120MM2</t>
  </si>
  <si>
    <t>CONECTOR,COMPR,BIM,PINO,150MM2</t>
  </si>
  <si>
    <t>CONECTOR,COMPR,BIM,PINO,185MM2</t>
  </si>
  <si>
    <t>CONECTOR,COMPR,BIM,PINO,240MM2</t>
  </si>
  <si>
    <t>CINTA,FIX,COND,POSTE,A=87,BT</t>
  </si>
  <si>
    <t>CINTA,FIX,COND,POSTE,A=102,BT</t>
  </si>
  <si>
    <t>CINTA,FIX,COND,POSTE,A=127,MT</t>
  </si>
  <si>
    <t>CINTA,FIX,COND,POSTE,A=142,MT</t>
  </si>
  <si>
    <t>TERM AG CB POT12/20KV35-150MM2</t>
  </si>
  <si>
    <t>DISJ,17KV,800A,SF6EXT,BCO,C/TC</t>
  </si>
  <si>
    <t>DISJ,17KV,800A,VÁC,EXT,BCO</t>
  </si>
  <si>
    <t>CB TRIP 12/20KV AL XLPE 185MM</t>
  </si>
  <si>
    <t>POSTE CONCRETO CIRCULAR 16/600</t>
  </si>
  <si>
    <t>POSTE CONCRETO CIRCULAR 14/100</t>
  </si>
  <si>
    <t>POSTE CONCRETO CIRCULAR 16/100</t>
  </si>
  <si>
    <t>POSTE CONCRETO CIRCULAR 16/150</t>
  </si>
  <si>
    <t>POSTE CONCRETO CIRCULAR 14/200</t>
  </si>
  <si>
    <t>POSTE CONCRETO CIRCULAR 16/200</t>
  </si>
  <si>
    <t>CONJ,GRAMPO,ANCORAGEM</t>
  </si>
  <si>
    <t>SECCIONADOR 3F BAJO CARGA 24</t>
  </si>
  <si>
    <t>POSTE,CIR,MAD,9M,250DAN,D0318</t>
  </si>
  <si>
    <t>POSTE,CIR,MAD,9M,400DAN,D0318</t>
  </si>
  <si>
    <t>POSTE,CC,9M,600DAN,DED0054</t>
  </si>
  <si>
    <t>POSTE,CC,15M,2000DAN,DED0054</t>
  </si>
  <si>
    <t>POSTE,CC,15M,1000DAN,DED0054</t>
  </si>
  <si>
    <t>POSTE,CC,11M,1000DAN,DED0054</t>
  </si>
  <si>
    <t>POSTE,CC,12M,1000DAN,DED0054</t>
  </si>
  <si>
    <t>POSTE,CC,12M,2000DAN,DED0054</t>
  </si>
  <si>
    <t>POSTE,CC,9M,200DAN,DED0054</t>
  </si>
  <si>
    <t>POSTE,CC,9M,400DAN,DED0054</t>
  </si>
  <si>
    <t>POSTE,CC,11M,200DAN,DED0054</t>
  </si>
  <si>
    <t>POSTE,CC,11M,400DAN,DED0054</t>
  </si>
  <si>
    <t>POSTE,CC,11M,600DAN,DED0054</t>
  </si>
  <si>
    <t>POSTE,CC,12M,400DAN,DED0054</t>
  </si>
  <si>
    <t>POSTE,CC,12M,600DAN,DED0054</t>
  </si>
  <si>
    <t>POSTE,CIR,MAD,11M,250DAN,D0056</t>
  </si>
  <si>
    <t>POSTE,CIR,MAD,11M,400DAN,D0056</t>
  </si>
  <si>
    <t>POSTE,CIR,MAD,11M,600DAN,D0056</t>
  </si>
  <si>
    <t>POSTE,CIR,MAD,12M,400DAN,D0056</t>
  </si>
  <si>
    <t>POSTE,CIR,MAD,12M,600DAN,D0056</t>
  </si>
  <si>
    <t>POSTE,CC,13M,1000DAN,DED0054</t>
  </si>
  <si>
    <t>POSTE,CC,11M,1500DAN,DED0054</t>
  </si>
  <si>
    <t>POSTE,CC,13M,2000DAN,DED0054</t>
  </si>
  <si>
    <t>POSTE,CC,18M,1000DAN,DED0054</t>
  </si>
  <si>
    <t>POSTE,CC,18M,2000DAN,DED0054</t>
  </si>
  <si>
    <t>POSTE,CC,20M,1000DAN,DED0054</t>
  </si>
  <si>
    <t>POSTE,CC,20M,2000DAN,DED0054</t>
  </si>
  <si>
    <t>POSTE,DT,9M,200DAN,PM0055</t>
  </si>
  <si>
    <t>POSTE,DT,9M,400DAN,PM0055</t>
  </si>
  <si>
    <t>POSTE,DT,11M,200DAN,PM0055</t>
  </si>
  <si>
    <t>POSTE,DT,11M,400DAN,PM0055</t>
  </si>
  <si>
    <t>POSTE,DT,11M,600DAN,PM0055</t>
  </si>
  <si>
    <t>POSTE,DT,12M,400DAN,PM0055</t>
  </si>
  <si>
    <t>POSTE,DT,12M,600DAN,PM0055</t>
  </si>
  <si>
    <t>POSTE, 5MX150DAN, ENTRADA-SERV</t>
  </si>
  <si>
    <t>POSTE, 5MX300DAN, ENTRADA-SERV</t>
  </si>
  <si>
    <t>POSTE, 7MX300DAN, ENTRADA-SERV</t>
  </si>
  <si>
    <t>POSTE, 7MX100DAN, 2 ENTRADAS-S</t>
  </si>
  <si>
    <t>POSTE,7MX150DAN CONC.DT LIG.C.</t>
  </si>
  <si>
    <t>CRUZETA,MADEIRA 2M, PM-1789 R3</t>
  </si>
  <si>
    <t>CRUZETA, MADEIRA 5M, DED-1790</t>
  </si>
  <si>
    <t>PERFIL,U76X38MMX900MM,AÇO,DE</t>
  </si>
  <si>
    <t>CABO AL CA 336,4MCM DED-0057 I</t>
  </si>
  <si>
    <t>CONDUTORALNÚCA4/0AWGDED-</t>
  </si>
  <si>
    <t>CABO AL NÚ CA 1/0 AWG PM-0057</t>
  </si>
  <si>
    <t>CABO AL NÚ CA 2 AWG PM-0057 I1</t>
  </si>
  <si>
    <t>CABO,CAA,4AWG,A,D21102.1</t>
  </si>
  <si>
    <t>CABO,CAA, 1/0AWG,A,D21102.1</t>
  </si>
  <si>
    <t>CONDCUNU,16MM²,19FIOS,DED1</t>
  </si>
  <si>
    <t>CONDCUNU,35MM²,7FIOS,PM-184</t>
  </si>
  <si>
    <t>CONDCUNU,70MM²,19FIOS,DED-1</t>
  </si>
  <si>
    <t>FIO, AL P/AMARRAÇÃO 4 AWG, DED</t>
  </si>
  <si>
    <t>FIO AL P/AMARRACAO 6AWG-DED-00</t>
  </si>
  <si>
    <t>CABO,AL NU CA 477MCM DED-0057</t>
  </si>
  <si>
    <t>CONDCUNU,16MM²,7FIOS,PM-184</t>
  </si>
  <si>
    <t>CBCONCTRIP.1,5MM²-DED-1840I</t>
  </si>
  <si>
    <t>CONDCUNU10MM²,1FIO,DED184</t>
  </si>
  <si>
    <t>FIO AL COBERTO,AMARRACAO 4AWG,</t>
  </si>
  <si>
    <t>CBCUISOLXLPE0,6/1KV50MM²</t>
  </si>
  <si>
    <t>CBCUISOLXLPE0,6/1KV-70MM²</t>
  </si>
  <si>
    <t>CBCUISOLXLPE0,6/1KV95MM²</t>
  </si>
  <si>
    <t>CBCUISOLXLPE0,6/1KV150MM²</t>
  </si>
  <si>
    <t>CBCUISOLXLPE0,6/1KV185MM²</t>
  </si>
  <si>
    <t>CABO PRE-REUN AL,3X50+50,PM-19</t>
  </si>
  <si>
    <t>CABO PRE-REUN AL,3X95+50,PM-19</t>
  </si>
  <si>
    <t>CABO PRE-REUN AL,3X150+70,PM-1</t>
  </si>
  <si>
    <t>CONDCUNU,25MM²,7FIOS,DED-18</t>
  </si>
  <si>
    <t>CONDUTORCONC.BIPOL.6MM²-DED-1</t>
  </si>
  <si>
    <t>CB.CONCÊNT.TRIP.10MM²-DED-1840</t>
  </si>
  <si>
    <t>CONDCUNU6MM²,1FIO,DED-1846</t>
  </si>
  <si>
    <t>CBPRÉ-REUN0,6/1KVCU3X95+50-</t>
  </si>
  <si>
    <t>CBPRÉ-REU0,6/1KVCU3x70+50-D</t>
  </si>
  <si>
    <t>CBPRÉ-REU0,6/1KVCU3X25+25</t>
  </si>
  <si>
    <t>CBPRE-REU0,6/1KVCU3X16+16</t>
  </si>
  <si>
    <t>CBPRE-REU0,6/1KVCU3X185DE</t>
  </si>
  <si>
    <t>CBPRE-REU0,6/1KVCU3X120DE</t>
  </si>
  <si>
    <t>CBTRIPALXLPE2X35+35MM0,6/1</t>
  </si>
  <si>
    <t>CONDUTCUISOL750V2,5MM²DED</t>
  </si>
  <si>
    <t>CONDUTCUISOL750V1,5MM²DED</t>
  </si>
  <si>
    <t>SUPORTE PARA CABO PRÉ-REUNIDO,</t>
  </si>
  <si>
    <t>SUPORTE P/CHAVE BY-PASS, DED-1</t>
  </si>
  <si>
    <t>CINTA,DT,AZ,165mm,D43506.0</t>
  </si>
  <si>
    <t>CINTA,DT,AZ,180mm,D43506.0</t>
  </si>
  <si>
    <t>CINTA,DT,AZ,215mm,D43506.0</t>
  </si>
  <si>
    <t>CINTA,DT,AZ,240mm,D43506.0</t>
  </si>
  <si>
    <t>CINTA,DT,AZ,270mm,D43506.0</t>
  </si>
  <si>
    <t>CINTA,DT,AZ,305mm,D43506.0</t>
  </si>
  <si>
    <t>CINTA,POSTE CIRC,LG AL 150MM,D</t>
  </si>
  <si>
    <t>CINTA POSTE CIRC.AL 170MM DED-</t>
  </si>
  <si>
    <t>CINTA POSTE CIRC. AL190MM DED-</t>
  </si>
  <si>
    <t>CINTA POSTE CIRC.AL 210MM DED-</t>
  </si>
  <si>
    <t>CINTA POSTE CIRC.AL 230MM DED-</t>
  </si>
  <si>
    <t>CINTA POSTE CIRC.AL 250MM DED-</t>
  </si>
  <si>
    <t>CINTA POSTE CIRC.AL 270MM DED-</t>
  </si>
  <si>
    <t>CINTA POSTE CIRC.AL 290MM DED-</t>
  </si>
  <si>
    <t>CINTA POSTE CIRC.AL 310MM DED-</t>
  </si>
  <si>
    <t>CINTA POSTE CIRC.AL 330M DED-1</t>
  </si>
  <si>
    <t>SUPORTE CH. C.CIRC/P.RAIOS AL</t>
  </si>
  <si>
    <t>SUPORTE TIPO Z, 113MM RC, DE</t>
  </si>
  <si>
    <t>SUPORTE PARA BANCO DE CAPAC</t>
  </si>
  <si>
    <t>ALÇA,PREF.AÇO,CB PRE-REUN.25MM</t>
  </si>
  <si>
    <t>ALCA,PREF.ACO,CB CONC.TRIP.10M</t>
  </si>
  <si>
    <t>ALCA,PREF.ACO,CB PRE-REUN.16MM</t>
  </si>
  <si>
    <t>ALÇA,PREF.AÇO,CB PRE-REUN.35MM</t>
  </si>
  <si>
    <t>ALÇA,PREF AÇO,CB PRE-REUN 70MM</t>
  </si>
  <si>
    <t>LACO PREF ACO,CB PRE-REUN.16MM</t>
  </si>
  <si>
    <t>LACO PREF.ACO, CB PRE-REUN.35M</t>
  </si>
  <si>
    <t>LAÇO PREF.AÇO,CB PR. 50MM²-PM1</t>
  </si>
  <si>
    <t>LAÇO PREF.AÇO,CB PR. 70MM²-PM1</t>
  </si>
  <si>
    <t>ALÇA,PREF.AÇO,CB.CONC.BIP.6MM²</t>
  </si>
  <si>
    <t>EMENDA P/CB POTÊNC.8,7/15KV,DE</t>
  </si>
  <si>
    <t>EMENDA CB POT.SUBM.8,7/15KV DE</t>
  </si>
  <si>
    <t>CONECTOR TERM COMPR,AL,95MM²-P</t>
  </si>
  <si>
    <t>CONEC.COMPR.H AL/AL-AL/CU-DED-</t>
  </si>
  <si>
    <t>CONEC., COMPR H AL/AL-AL/CU DE</t>
  </si>
  <si>
    <t>CONEC, COMPR H AL/AL-AL/CU DED</t>
  </si>
  <si>
    <t>CONECTOR PERFURANTE, DED-1851</t>
  </si>
  <si>
    <t>CONEC PER ISO,50-150/10-35MM²</t>
  </si>
  <si>
    <t>GRAMPO ANCOR.POLIM,CB AL1/0AWG</t>
  </si>
  <si>
    <t>GRAMPO,ANCOR.POLIM,CB AL336,4M</t>
  </si>
  <si>
    <t>TERM EXT UNIP 35 MM² -70MM²</t>
  </si>
  <si>
    <t>TERMIN 8,7/15KV,CB CU 35mm²,DQ</t>
  </si>
  <si>
    <t>TERMIN 8,7/15KV,CB AL 95mm²,DQ</t>
  </si>
  <si>
    <t>TERMIN INT UNIP 35MM² -70MM²</t>
  </si>
  <si>
    <t>ARRUELA,QUAD,50X3X18MM,D0036</t>
  </si>
  <si>
    <t>AFASTADOR REDE SEC 250MM, DED-</t>
  </si>
  <si>
    <t>AFASTADOR REDE SEC 500MM, DED-</t>
  </si>
  <si>
    <t>ARMAÇÃO SEC.SIMPLES,LIGA AL.DE</t>
  </si>
  <si>
    <t>ARRU,QUAD,AL,36x3x18mm,DED1256</t>
  </si>
  <si>
    <t>LUVA,EMEN,TENS LG50MM,FP,SUBST</t>
  </si>
  <si>
    <t>LUVA,EMEN,TENS LG70MM,FP,SUBST</t>
  </si>
  <si>
    <t>CONECTOR PARAF.FEND,DED1845-FP</t>
  </si>
  <si>
    <t>CONECTOR PARAF. FENDIDO,DED-18</t>
  </si>
  <si>
    <t>FITA, PROTECAO CB AL 1,0X10MM-</t>
  </si>
  <si>
    <t>LUVA,EMEN S/TENS,95MM,FP,SUBST</t>
  </si>
  <si>
    <t>GRAMPO LINHA VIVA, DED- 0106</t>
  </si>
  <si>
    <t>GRAMPO, TENSOR P/CB ALUMINIO,</t>
  </si>
  <si>
    <t>PORCA LIGA DE ALUMÍNIO, DED-12</t>
  </si>
  <si>
    <t>ALÇA,PREF.AÇO,CB PRE-REUN.95MM</t>
  </si>
  <si>
    <t>ALÇA,PREF.AÇO,CB PRE-REUN.150M</t>
  </si>
  <si>
    <t>ALCA,PREF.CU,CB PRE-REUN.95MM²</t>
  </si>
  <si>
    <t>ALÇA,PREF.CU,CB PRE-REUN.150MM</t>
  </si>
  <si>
    <t>BRAÇO,15KV,L,SP,D45601.0</t>
  </si>
  <si>
    <t>BRAÇO,15KV,C,SP,D45501.0</t>
  </si>
  <si>
    <t>CANTONEIRA P/BRAÇO TIPO C DE</t>
  </si>
  <si>
    <t>LUVA EMENDA TENSÃO,COND CA,DED</t>
  </si>
  <si>
    <t>LUVA EMEN. TENSÃO COND. CA, DE</t>
  </si>
  <si>
    <t>LUVA REPARO COND.CA1/0 AWG, DE</t>
  </si>
  <si>
    <t>LUVA REPARO COND.CA336,4MCM DE</t>
  </si>
  <si>
    <t>LUVA EMENDA TENS AL 336,4/185M</t>
  </si>
  <si>
    <t>LUVA REPARO COND.CA477MCM, DED</t>
  </si>
  <si>
    <t>ALÇA,DIST,SP,50MM²,PM2276.1</t>
  </si>
  <si>
    <t>ALÇA,DIST,SP,185MM²,PM2276.1</t>
  </si>
  <si>
    <t>PARAF. CAB. ABAUL 45 LIGA AL</t>
  </si>
  <si>
    <t>PARAF. CAB. ABAUL 70 LIGA AL</t>
  </si>
  <si>
    <t>PARAF. CAB. ABAUL 150 LIGA AL</t>
  </si>
  <si>
    <t>LUVA EMEND LG,TRAÇÃO,FP-SUBST</t>
  </si>
  <si>
    <t>LUVA EMEND LG,TRAÇÃO TOTAL,478</t>
  </si>
  <si>
    <t>LUVA REPARO COND. CA 2 AWG, DE</t>
  </si>
  <si>
    <t>LUVA EMEND LG,TRAÇÃO TOTAL,370</t>
  </si>
  <si>
    <t>PARAF CAB QUAD AL 200X120X16MM</t>
  </si>
  <si>
    <t>PARAF.CAB.QUAD.AL250X170X16MM</t>
  </si>
  <si>
    <t>PORCA DE AÇO CARBONO, DED-0047</t>
  </si>
  <si>
    <t>MANILHA SAPATILHA, DED-1699 R.</t>
  </si>
  <si>
    <t>SAPATILHA, ESTAI, DED-0048 R.4</t>
  </si>
  <si>
    <t>PARAF.CAB.QUA. AL300X220X16MM</t>
  </si>
  <si>
    <t>PARAF.CAB.QUA. AL 350X270X16MM</t>
  </si>
  <si>
    <t>PARAF,CAB QUAD,M16,400mm,D2161</t>
  </si>
  <si>
    <t>CABO,MENS,9,5MM,PM1903</t>
  </si>
  <si>
    <t>LAÇO PLÁST P/CB 1/0AWG RC,DED-</t>
  </si>
  <si>
    <t>LUVA EMEN. SEM TENSÃO, DED-011</t>
  </si>
  <si>
    <t>LUVA EMEND.TENSÃO,CAA 4AWG,DED</t>
  </si>
  <si>
    <t>LACO PREF CU,CB PRE-REUN.35MM²</t>
  </si>
  <si>
    <t>LACO PREF.CU,CB PRE-REUN.50MM²</t>
  </si>
  <si>
    <t>LACO PREF.CU,CB PRE-REUN.70MM²</t>
  </si>
  <si>
    <t>ANEL AMARRAÇÃO P/ESPAÇ.POLIM-D</t>
  </si>
  <si>
    <t>CONECTOR TERM. P/ COND. CU,DDT</t>
  </si>
  <si>
    <t>PROTETOR BUCHA</t>
  </si>
  <si>
    <t>CONEC.CUN.AZUL,D=8,23-12,70,DE</t>
  </si>
  <si>
    <t>CONECT CUNHA AZUL D=15,24-17,3</t>
  </si>
  <si>
    <t>CONEC,CUNHA DERIV.II/VERDE DED</t>
  </si>
  <si>
    <t>CONEC.CUNH DERIV.IV/AZL-FP,SUB</t>
  </si>
  <si>
    <t>MAO FRANC PERF 1534MM AÇO INOX</t>
  </si>
  <si>
    <t>COBERTURA EMENDA CB COBERTO R</t>
  </si>
  <si>
    <t>PROTETOR DE ESTRIBO E GRAMPO D</t>
  </si>
  <si>
    <t>PROTETOR PÁRA RAIOS</t>
  </si>
  <si>
    <t>ALCA,PREF CB 4CAA,DQN-1956 I1</t>
  </si>
  <si>
    <t>ALCA,PREFORM.CB CU 35MM² DQN-1</t>
  </si>
  <si>
    <t>ALCA,PREFORM.CB CU 70MM² DQN-1</t>
  </si>
  <si>
    <t>ESTRIBO RAMAL DE SERVIÇO DED-1</t>
  </si>
  <si>
    <t>ALÇA,PREFORM,AÇO CARBONO - 2CA</t>
  </si>
  <si>
    <t>ALÇA PREF AÇO CARBONO - 1/0 CA</t>
  </si>
  <si>
    <t>CONECTOR DESM.PASSANT,DED0101I</t>
  </si>
  <si>
    <t>CONECTOR, DESMONTÁVEL DERIVAÇÃ</t>
  </si>
  <si>
    <t>CONECTOR TERM. P/ COND. AL, DE</t>
  </si>
  <si>
    <t>CONEC,TERM,COMP,CABO 1/0CA/CAA</t>
  </si>
  <si>
    <t>CONEC,TERM,COMP,CABO 336CA-185</t>
  </si>
  <si>
    <t>ALÇA, PRE-FORMADA RAMAL SERVIC</t>
  </si>
  <si>
    <t>CONECTOR CUNHA DERIV,A/VIOLETA</t>
  </si>
  <si>
    <t>CONECTOR CUNHA DERIV,B-LARANJA</t>
  </si>
  <si>
    <t>CONECTOR CUNHA DERIV,C-MARRON,</t>
  </si>
  <si>
    <t>CONEC.CUNHA DERIV. D-BRANCA, D</t>
  </si>
  <si>
    <t>CONEC.CUNHA DERIV. I-CINZA DED</t>
  </si>
  <si>
    <t>CONEC.CUN.DERI.VI-BRAN/AZUL DE</t>
  </si>
  <si>
    <t>CONEC.CUN.DERIV.VII-BRN/VERM.D</t>
  </si>
  <si>
    <t>CHAPA PARA ÂNCORA, DED-1361 R</t>
  </si>
  <si>
    <t>ALÇA,CORDAZ,7,9MM,PM2276.1</t>
  </si>
  <si>
    <t>ALÇA,CORDAZ,9,5MM,PM2276.1</t>
  </si>
  <si>
    <t>ALCA,PREFORM.CB CU 25MM² DQN-1</t>
  </si>
  <si>
    <t>ALCA PREFORM.CU,CB CONC.BIP.6M</t>
  </si>
  <si>
    <t>ALCA PREF.CU,CB CONC.TRIP.10MM</t>
  </si>
  <si>
    <t>ALCA PREF.CU,CB PRE-REUN.25MM²</t>
  </si>
  <si>
    <t>ALÇA PREF AÇO CARBONO-336,4 CA</t>
  </si>
  <si>
    <t>ALÇA,PREFORM.CB CA 477MCM -DQN</t>
  </si>
  <si>
    <t>ALCA,PREFORM.CB CU 16MM²-DQN-1</t>
  </si>
  <si>
    <t>LUVA EMEN. COND. COBRE, DED-18</t>
  </si>
  <si>
    <t>ISOL,ANC,POL,15KV,EMT011</t>
  </si>
  <si>
    <t>ISOL,PINO,POLIM,15KV,SP,EMT010</t>
  </si>
  <si>
    <t>ISOL,DISC,178MM,ZN,D50031.0</t>
  </si>
  <si>
    <t>ISOL,15KV,PINO ANTI-POLUICAO,D</t>
  </si>
  <si>
    <t>ADAPT P/ CH. C.CIRC./P.RAIOS D</t>
  </si>
  <si>
    <t>SECCIONADOR, PREFORMADO P/CERC</t>
  </si>
  <si>
    <t>ELO FUSÍVEL TIPO 1H, DED-0094</t>
  </si>
  <si>
    <t>ELO FUSÍVEL TIPO 2H, DED-0094</t>
  </si>
  <si>
    <t>ELO FUSIVEL TIPO 3H, PM-0094 I</t>
  </si>
  <si>
    <t>ELO FUSÍVEL TIPO 5H, PM-0094 I</t>
  </si>
  <si>
    <t>ELO FUSÍVEL TIPO 6K, PM-0094 I</t>
  </si>
  <si>
    <t>ELO FUSÍVEL TIPO 8K, DED-0094</t>
  </si>
  <si>
    <t>ELO FUSIVEL TIPO 10K, PM-0094</t>
  </si>
  <si>
    <t>ELO FUSÍVEL TIPO 12K, DED-0094</t>
  </si>
  <si>
    <t>ELO FUSIVEL TIPO 15K, PM-0094</t>
  </si>
  <si>
    <t>ELO FUSÍVEL TIPO 25K,PM-0094 I</t>
  </si>
  <si>
    <t>ELO FUSÍVEL TIPO 40K, DED-0094</t>
  </si>
  <si>
    <t>ELO FUSÍVEL TIPO 50K, DED-0094</t>
  </si>
  <si>
    <t>GRAMPO, ATERRAMENTO, DED-79-00</t>
  </si>
  <si>
    <t>HASTE ATERRAMENTO COBREADA, DE</t>
  </si>
  <si>
    <t>MOLDURA, FIO TERRA, DED-98-179</t>
  </si>
  <si>
    <t>CH17,5KV-CONJ -1250A-INCL 25KA</t>
  </si>
  <si>
    <t>CARTUCHO,PORTA FUSÍVEL 50A,DE</t>
  </si>
  <si>
    <t>CARTUCHO PORTA FUSÍVEL 100A C</t>
  </si>
  <si>
    <t>CHAVE FUSIVEL TIPOC 15,5kV-100</t>
  </si>
  <si>
    <t>CHAVE FACA UNIP,400A,FP-SUBST</t>
  </si>
  <si>
    <t>CHAVE,FACA UNIP MONT,FP-SUBST</t>
  </si>
  <si>
    <t>CHAVE SECC BY-PASS, 400A-15KV</t>
  </si>
  <si>
    <t>CHAVE FACA UNIP,630A,FP-SUBST</t>
  </si>
  <si>
    <t>PÁRA-RAIOS DE BAIXA TENSÃO, DE</t>
  </si>
  <si>
    <t>CX MEDIÇÃO INDIRETA,CHAPA AÇO,</t>
  </si>
  <si>
    <t>CORPO, CAIXA DE ATERRAMENTO E</t>
  </si>
  <si>
    <t>TAMPA,CAIXA ATERRAMENTO PVC DE</t>
  </si>
  <si>
    <t>IDENTIFICADOR FASE, A, DED-1</t>
  </si>
  <si>
    <t>CHAVE TIP CANHÃO FECH CX AÉREA</t>
  </si>
  <si>
    <t>CHAVE, SEGURANÇA MOD. ANTIGO E</t>
  </si>
  <si>
    <t>CURVA 90 LONGA, ELET. AÇO, DED</t>
  </si>
  <si>
    <t>CURVA 90 LONGA, ELETR. AÇO, DE</t>
  </si>
  <si>
    <t>CHAVE SEGUR P/ CX DE MEDIDOR D</t>
  </si>
  <si>
    <t>CURVA PVC RÍG 20MM, 90° CLASSE</t>
  </si>
  <si>
    <t>CURVA PVC RÍG 20MM, 180° CLASS</t>
  </si>
  <si>
    <t>CAIXA CONEX P/ LIG. CONSUMIDOR</t>
  </si>
  <si>
    <t>CAIXA, PROTEÇÃO/DERIVAÇÃO EM A</t>
  </si>
  <si>
    <t>CX DISJ BT 100A,PM-1759 I1</t>
  </si>
  <si>
    <t>CURVA PVC RÍG.50MM,90° CLASSE</t>
  </si>
  <si>
    <t>CURVA PVC RÍG. 50MM,180° CLASS</t>
  </si>
  <si>
    <t>CX MEDIDOR MONOFASICO, PM-1946</t>
  </si>
  <si>
    <t>ELETRODUTO PVC SOLD.D=50MM DDT</t>
  </si>
  <si>
    <t>CX.P/TRANSF.CORRENT ATE 75KVA</t>
  </si>
  <si>
    <t>CX.P/TRANSF. CORREN SUP A 75KV</t>
  </si>
  <si>
    <t>CAIXA PROT DERIV.DISJ.PADRAOUL</t>
  </si>
  <si>
    <t>ABRAÇADEIRA NYLON 1094mm DDT-1</t>
  </si>
  <si>
    <t>ADAPTADOR P/ CX. MEDIDOR DED-1</t>
  </si>
  <si>
    <t>DUTO POLIETILENO 75MM,DQN-1838</t>
  </si>
  <si>
    <t>DUTO POLIETILENO 100MM, DQN-18</t>
  </si>
  <si>
    <t>BRAÇO, LUMIN ABERTA 3000MM, DE</t>
  </si>
  <si>
    <t>BRAÇO, LUMIN. ABERTA 1000MM,</t>
  </si>
  <si>
    <t>TOMADA P/RELE FOTOELÉTRICO, DE</t>
  </si>
  <si>
    <t>BRAÇO LUMIN.FECHADA,TB 3500MM,</t>
  </si>
  <si>
    <t>RELÉ FOTOELÉTR. NF 10A-127V,DE</t>
  </si>
  <si>
    <t>REATOR, LAMP. V MERC. 220VX25O</t>
  </si>
  <si>
    <t>REATOR, LAMP V MERC 220VX400W,</t>
  </si>
  <si>
    <t>REATOR, LÂMP V MERC. 220VX125W</t>
  </si>
  <si>
    <t>REATOR, LAMP V MERCURIO 220VX8</t>
  </si>
  <si>
    <t>REATOR,LÂMP.VS.220VX150W,DQN-1</t>
  </si>
  <si>
    <t>REATOR,LÂMP.VS.220VX250W,DQN-1</t>
  </si>
  <si>
    <t>CJT3 ELEM.TRANS.MED.MT,50/100,</t>
  </si>
  <si>
    <t>CJT 3ELEM.TRAN.MED.MT,200-600,</t>
  </si>
  <si>
    <t>FITA AÇO INOX 19mm</t>
  </si>
  <si>
    <t>TRAVA P/ ABRAÇADEIRA AÇO INOX</t>
  </si>
  <si>
    <t>TAMPA SEG,CX MED BI-TRI,DED-18</t>
  </si>
  <si>
    <t>SELO DE SEGURANÇA AMARELO P/ME</t>
  </si>
  <si>
    <t>SELO SEG,BRANCO,MED CLIENT,DQN</t>
  </si>
  <si>
    <t>SELO DE SEGURANÇA CINZA P/MEDI</t>
  </si>
  <si>
    <t>SELO DE SEGURANÇA VERDE P/MEDI</t>
  </si>
  <si>
    <t>SELO DE SEGURANÇA LILÁS P/MEDI</t>
  </si>
  <si>
    <t>SELO DE SEGURANÇA AZUL P/MEDIÇ</t>
  </si>
  <si>
    <t>SELO DE SEGURANÇA VERMELHO P/M</t>
  </si>
  <si>
    <t>SELO SEG.USO GERAL,VERMELHO,DQ</t>
  </si>
  <si>
    <t>SELO,SEG.USO GERAL,COR AZUL,DQ</t>
  </si>
  <si>
    <t>PARAF SEGUR P/CX MEDIDOR, DED-</t>
  </si>
  <si>
    <t>PARAF FECH CX REDES AÉREAS DQN</t>
  </si>
  <si>
    <t>FITA, ISOLANTE PLASTICA VINIL</t>
  </si>
  <si>
    <t>CAPA ISOL.CONEC.CUNHA DERIV.DE</t>
  </si>
  <si>
    <t>LAMPADA, VM 220VX125W - DED-00</t>
  </si>
  <si>
    <t>LAMPADA, VM 220VX80W -DED-0069</t>
  </si>
  <si>
    <t>LÂMPADA, VM 220VX250W - DED-00</t>
  </si>
  <si>
    <t>LAMPADA, VM 220VX400W - DED-00</t>
  </si>
  <si>
    <t>LAMPADA,VS,ELIPTICO,220VX150WD</t>
  </si>
  <si>
    <t>LAMPADA,VS,ELIPTICO,220VX250WD</t>
  </si>
  <si>
    <t>LAMPADA,VS,ELIPTICO,220VX70W D</t>
  </si>
  <si>
    <t>LÂMPADA, VAPOR SÓDIO 220V X 40</t>
  </si>
  <si>
    <t>ARAME, ZINCADO DIAM 2MM-FORA P</t>
  </si>
  <si>
    <t>ARAME ZINCADO DIAM 5,0MM, DED-</t>
  </si>
  <si>
    <t>GRAMPO, CERCA AÇO ZINCADO 30MM</t>
  </si>
  <si>
    <t>LUVA, P/PARAF.SEGURANÇA, DQN-1</t>
  </si>
  <si>
    <t>CX MEDIDOR POLIFASICO, PM-1943</t>
  </si>
  <si>
    <t>ELETROD RIG AÇO ZINC,80MM,DED1</t>
  </si>
  <si>
    <t>PRENSA-CABO ROSQ,CB 6-12MM,PM-</t>
  </si>
  <si>
    <t>DISJ TERM TRI 50A 10KA DED-171</t>
  </si>
  <si>
    <t>DISJ TERM TRI 100A 10KA DED-17</t>
  </si>
  <si>
    <t>DISJ TERM TRI 125A 10KA DED-17</t>
  </si>
  <si>
    <t>DISJ TERM TRI 150A 10KA DED-17</t>
  </si>
  <si>
    <t>DISJ TERM TRI 200A 10KA DED-17</t>
  </si>
  <si>
    <t>CAIXA P/PROT.BAIXA TENSÃO, DED</t>
  </si>
  <si>
    <t>BARRAMENTO TRIFÁSICO DED-1842</t>
  </si>
  <si>
    <t>DISJUNTOR TERM MONOP 40A PM171</t>
  </si>
  <si>
    <t>DISJUNTOR TERM BIPOLAR 50A PM1</t>
  </si>
  <si>
    <t>DISJ TERM BT BIPO 70A 5KA DED1</t>
  </si>
  <si>
    <t>DISJ TERM BIPO 100A 10KA DED-1</t>
  </si>
  <si>
    <t>DISJUNTOR TERM TRIPOLAR 63A PM</t>
  </si>
  <si>
    <t>MEDIDOR, KWH POLIF 2 ELEM 3 FA</t>
  </si>
  <si>
    <t>MEDIDOR, KWH POLIF 3 ELEM 3 FA</t>
  </si>
  <si>
    <t>TRAFO,POT,A1,33MVA,C/C,GST002</t>
  </si>
  <si>
    <t>TC 10-5A 15KV DQN-2022 I.4</t>
  </si>
  <si>
    <t>TRAFOTRIFÁSICO15KVA,DED-184</t>
  </si>
  <si>
    <t>TRAFO,3F,30kVA,GST001</t>
  </si>
  <si>
    <t>TRAFO,3F,45kVA,GST001</t>
  </si>
  <si>
    <t>TRAFO,3F,75kVA,GST001</t>
  </si>
  <si>
    <t>TRAFOTRIFÁSICO112,5KVA,FP</t>
  </si>
  <si>
    <t>TC 20-5A 15KV DQN-2022 I.6</t>
  </si>
  <si>
    <t>TP,13,8KV,A11,ESE007</t>
  </si>
  <si>
    <t>TRAFO,2F,10kVA,GST001</t>
  </si>
  <si>
    <t>TRAFO,2F,15kVA,GST001</t>
  </si>
  <si>
    <t>TRAFODISTBIFÁSICO,25KVA,DED-</t>
  </si>
  <si>
    <t>TRAFO,POT,A5,25MVA,C/C,GST002</t>
  </si>
  <si>
    <t>TC 5-5A 15KV DQN - 2022 I.</t>
  </si>
  <si>
    <t>TC 2,5-5A 15KV DQN - 2022 I</t>
  </si>
  <si>
    <t>TC 30-5A 15KV DQN-2022 I.7</t>
  </si>
  <si>
    <t>TRAFOTRI45KVAAMBAGRES,DQN</t>
  </si>
  <si>
    <t>TRAFOTRI75KVAAMBAGRES,DQN</t>
  </si>
  <si>
    <t>TRAFOTRIFPOTÊNCIA500KVA,DED</t>
  </si>
  <si>
    <t>TRAFOTRIFPOTÊNCIA750KVA,DED</t>
  </si>
  <si>
    <t>TRAFO,POT,A7,15MVA,C/C,GST002</t>
  </si>
  <si>
    <t>TRAFO,POT,A8,7MVA,C/C,GST002</t>
  </si>
  <si>
    <t>TC 200-5A 15KV DQN-2022 I.13</t>
  </si>
  <si>
    <t>TC 100-5A 15KV DQN-2022 I.11</t>
  </si>
  <si>
    <t>TC,17,5KV,A6,ESE007</t>
  </si>
  <si>
    <t>TC 75-5A 15KV DQN-2022 I.10 R</t>
  </si>
  <si>
    <t>TC,17,5KV,A4,ESE007</t>
  </si>
  <si>
    <t>TRAFO,3F,150KVA,GST001</t>
  </si>
  <si>
    <t>TRAFOTRI225KVAMINERAL,DED1</t>
  </si>
  <si>
    <t>TRAFO,3F,300KVA,GST001</t>
  </si>
  <si>
    <t>TR,1F,10KVA,GST001</t>
  </si>
  <si>
    <t>TRAFO,1F,15kVA,GST001</t>
  </si>
  <si>
    <t>TRAFO DIST MONO,25KVA, DED-184</t>
  </si>
  <si>
    <t>TC 15-5A 15KV DQN-2022 I.5 R</t>
  </si>
  <si>
    <t>TC 50-5A 15KV DQN-2022 I.9</t>
  </si>
  <si>
    <t>TC 200-5A 15KV I.13</t>
  </si>
  <si>
    <t>TRAFO TRI 150KVA SINTÉTICO, DE</t>
  </si>
  <si>
    <t>TRAFO TRI 225KVA SINTÉTICO,DED</t>
  </si>
  <si>
    <t>TRAFO TRI 300KVA SINTÉTICO,DED</t>
  </si>
  <si>
    <t>TRAFO TRI 112,5KVA AMB AGRES,D</t>
  </si>
  <si>
    <t>TP,13,8KV,A8,ESE007</t>
  </si>
  <si>
    <t>TP 6900-115V 15KV DQN-2023 I.</t>
  </si>
  <si>
    <t>TP 8050-115V 15KV DQN-2023 I.</t>
  </si>
  <si>
    <t>TC145KVEXT400/600/800/10005-5A</t>
  </si>
  <si>
    <t>TC72,5KVEXTA52x600/400/2005-5A</t>
  </si>
  <si>
    <t>TRAFO POTENCIAL INDUTIVO,USO E</t>
  </si>
  <si>
    <t>TRANSFORMADOR, POTENCIAL INDUT</t>
  </si>
  <si>
    <t>TRAFO,POT,A6,12MVA,C/C,GST002</t>
  </si>
  <si>
    <t>TRAFO DIST MONO RURAL,5KVA,DED</t>
  </si>
  <si>
    <t>TRAFO DIST BIF RURAL,5KVA,DED-</t>
  </si>
  <si>
    <t>TP,34,5KV,A13,ESE007</t>
  </si>
  <si>
    <t>TC 500-5A 15KV DQN-2022 I.1</t>
  </si>
  <si>
    <t>TC 300-5A 15KV DQN-2022 I.14</t>
  </si>
  <si>
    <t>TC 40-5A 15KV DQN-2022 I.8 R2</t>
  </si>
  <si>
    <t>TP,11,95KV,A9,ESE007</t>
  </si>
  <si>
    <t>LÂMPADA,VS,ELIPT, 220VX100W,DE</t>
  </si>
  <si>
    <t>REATOR,LÂMPADA VS.220VX100W DQ</t>
  </si>
  <si>
    <t>REATOR,LÂMPADA VS.220VX70W DQN</t>
  </si>
  <si>
    <t>LUMINÁRIA,FECH P/LÂMP V.S.250W</t>
  </si>
  <si>
    <t>LUMINÁRIA FECH,LÂMP VS 150W-DE</t>
  </si>
  <si>
    <t>LUMINÁRIA FECH,LÂMP V.S.100W-D</t>
  </si>
  <si>
    <t>FOCALIZADOR, C/PORTA-LÂMPAD. R</t>
  </si>
  <si>
    <t>CBPOTENUNIP35MM²8,7/15KVD</t>
  </si>
  <si>
    <t>CB,ISOL,70MM²,15KV,D21006.0</t>
  </si>
  <si>
    <t>ETIQUETA IDENTIFICADORA N°0,DE</t>
  </si>
  <si>
    <t>ETIQUETA IDENTIFICADORA N°1,DE</t>
  </si>
  <si>
    <t>ETIQUETA IDENTIFICADORA N° 2,</t>
  </si>
  <si>
    <t>ETIQUETA IDENTIFICADORA N°3,DE</t>
  </si>
  <si>
    <t>ETIQUETA IDENTIFICADORA N°4,DE</t>
  </si>
  <si>
    <t>ETIQUETA IDENTIFICADORA N°5,DE</t>
  </si>
  <si>
    <t>ETIQUETA IDENTIFICADORA N°6,DE</t>
  </si>
  <si>
    <t>ETIQUETA IDENTIFICADORA N°7,DE</t>
  </si>
  <si>
    <t>ETIQUETA IDENTIFICADORA N°8,DE</t>
  </si>
  <si>
    <t>ETIQUETA IDENTIFICADORA N°9,DE</t>
  </si>
  <si>
    <t>DISJ TERM BIPO 100A 5KA DED-17</t>
  </si>
  <si>
    <t>DISJUNTOR TERM TRIPOLAR 50A PM</t>
  </si>
  <si>
    <t>DISJUNTOR TERM TRIPOLAR 100A P</t>
  </si>
  <si>
    <t>TRAFO,POT,A4,20MVA,C/C,GST002</t>
  </si>
  <si>
    <t>TRAFO 300kVA TIPO PEDESTAL</t>
  </si>
  <si>
    <t>LAÇO MENS AÇO GALV 7,9MM RC,DE</t>
  </si>
  <si>
    <t>LAÇO MENS AÇO GALV 9,5MM RC,DE</t>
  </si>
  <si>
    <t>BRAÇO,ANT-BAL,SP,15KV,D53005.0</t>
  </si>
  <si>
    <t>ESTRIBO P/ESPAÇADOR LOSANG RC,</t>
  </si>
  <si>
    <t>PARAF ROSC DUPLA 400X175X16MM</t>
  </si>
  <si>
    <t>PARAF ROSC DUP AL 400X175X16M</t>
  </si>
  <si>
    <t>PARAF ROSC DUP AL 450X200X16M</t>
  </si>
  <si>
    <t>CBPRE-REU0,6/1KVCU3x35+35</t>
  </si>
  <si>
    <t>SELO,SEGUR,CB AÇO,AMARELO,DQN-</t>
  </si>
  <si>
    <t>SELO,SEGUR,CB AÇO,VERMELHO,DQN</t>
  </si>
  <si>
    <t>CABO COBRE COBERTO 16MM² 15KV</t>
  </si>
  <si>
    <t>CABO,MENS,7,9MM,PM1903</t>
  </si>
  <si>
    <t>PRENSA-CABO ROSQ,CB3X7,9-9,6MM</t>
  </si>
  <si>
    <t>SELO SEG VERM. DUPLA ANCOR.DQN</t>
  </si>
  <si>
    <t>SELO SEG.AZUL DUPLA ANCOR. DQN</t>
  </si>
  <si>
    <t>FIXADOR PARA FIOS E CABOS DQN-</t>
  </si>
  <si>
    <t>POSTE,5MX300DAN CONC.DT LIG.C-</t>
  </si>
  <si>
    <t>POSTE,7MX300DAN CONC.DT LIG.C-</t>
  </si>
  <si>
    <t>SELO SEG VERDE DUPLA ANCOR.DQN</t>
  </si>
  <si>
    <t>SELO,SEG,CINZA,DUPLA ANCOR,DQN</t>
  </si>
  <si>
    <t>SELO,SEG,BRANCO,DUPLA ANCOR,DQ</t>
  </si>
  <si>
    <t>SELO SEG LILAS DUPLA ANCOR.DQN</t>
  </si>
  <si>
    <t>SELO,SEG,AMARELO,DUPLA ANCOR,D</t>
  </si>
  <si>
    <t>SELO SEG LARANJA DUPLA ANCOR.D</t>
  </si>
  <si>
    <t>SELO SEG INCOLOR DUPLA ANCOR.D</t>
  </si>
  <si>
    <t>PARAFUSO SEG MED CLIENTES GR</t>
  </si>
  <si>
    <t>CHAVE SEG,MED.CLIENTES GRUPO A</t>
  </si>
  <si>
    <t>TRAFO TRI 15KVA AMB AGRES, DQN</t>
  </si>
  <si>
    <t>TRAFO TRI 30KVA AMB AGRES,DQN</t>
  </si>
  <si>
    <t>TRAFO TRIF POTÊNCIA 1000KVA,DE</t>
  </si>
  <si>
    <t>CAIXA DISTR.BARR. 13SAÍDAS FAS</t>
  </si>
  <si>
    <t>CX.DISTR.BARRAM.19 SAIDAS/FASE</t>
  </si>
  <si>
    <t>CBCONT0,6/1KV2,5MM²-DQN-202</t>
  </si>
  <si>
    <t>CBCONTROLE0,6/1KV4MM²-DQN-2</t>
  </si>
  <si>
    <t>TC 150-5A 15KV DQN-2022 I.12</t>
  </si>
  <si>
    <t>ELETRODUTO PVC ROSQ.D=20MM DDT</t>
  </si>
  <si>
    <t>ELETRODUTO PVC ROSQ.D=50MM DDT</t>
  </si>
  <si>
    <t>CONEC TERM COMPR P/MED,CB 2,5,</t>
  </si>
  <si>
    <t>CONEC TERM COMPR P/MED,CB 4,0,</t>
  </si>
  <si>
    <t>ELETRODUTO PVC ROSQ.D=100MM DD</t>
  </si>
  <si>
    <t>CAIXA DERIVAÇÃO 160A DQN-2025</t>
  </si>
  <si>
    <t>CONDUTORCONCBIPCU10MM²DED</t>
  </si>
  <si>
    <t>ELETRODUTO PVC ROSQ.D=75MM DDT</t>
  </si>
  <si>
    <t>DISJ,TERM,1F,63A,PM1715 I3 R11</t>
  </si>
  <si>
    <t>DISJUNTOR TERM TRIPOLAR 40A PM</t>
  </si>
  <si>
    <t>CONEC.CUNH.DERIV.L-CINZA/AZUL</t>
  </si>
  <si>
    <t>ALÇA PREF.CU,CB CONC.BIPOL.10M</t>
  </si>
  <si>
    <t>TRAFO,3F,PED,75KVA,D2049.4</t>
  </si>
  <si>
    <t>TRAFO,3F,PED,150KVA,D2049.4</t>
  </si>
  <si>
    <t>TRAFO,3F,PED,300KVA,D2049.4</t>
  </si>
  <si>
    <t>EMENDA RET.CB POTÊNC.12/20KV D</t>
  </si>
  <si>
    <t>EMENDA RET. CB POTÊNC.12/20KVD</t>
  </si>
  <si>
    <t>TERMIN 12/20KV,CB CU 35mm²,DQN</t>
  </si>
  <si>
    <t>TERMIN 12/20KV,CB CU 240mm²-DQ</t>
  </si>
  <si>
    <t>TERMIN 12/20KV,CB AL 50mm²-DQN</t>
  </si>
  <si>
    <t>TERMINAL DESC.15/25KV 600 A DQ</t>
  </si>
  <si>
    <t>TERMINAL DESC.15/25KV 200 A DQ</t>
  </si>
  <si>
    <t>TAMPÃO RETANG FERRO CX RD SUBT</t>
  </si>
  <si>
    <t>RECEPTÁCULO ISOL. 15/25 KV, DQ</t>
  </si>
  <si>
    <t>PORTA FUSÍVEL 15/20KV, C/EXTRE</t>
  </si>
  <si>
    <t>FUSÍVEL 15/20KV - 6A, DQN-03-2</t>
  </si>
  <si>
    <t>FUSÍVEL 15/20KV - 8A, DQN-03-2</t>
  </si>
  <si>
    <t>FUSÍVEL 15/20KV - 10A, DQN-03-</t>
  </si>
  <si>
    <t>PLUGUE ISOLANTE 15/25 KV, DQN-</t>
  </si>
  <si>
    <t>INDICADOR DE DEFEITO, DQN-2052</t>
  </si>
  <si>
    <t>PORTA MARCADOR DE CABOS DQN 20</t>
  </si>
  <si>
    <t>MARCADOR ALFAB P/IDENTIF CB DQ</t>
  </si>
  <si>
    <t>MARCADOR NUMÉR P/ IDENTIF CB D</t>
  </si>
  <si>
    <t>FUSÍVEL NH 500V-100A,TAM.1,DQN</t>
  </si>
  <si>
    <t>FUSÍVEL NH 500V-160A,TAM.1,DQN</t>
  </si>
  <si>
    <t>FUSÍVEL NH 500V-200A,TAM.1,DQN</t>
  </si>
  <si>
    <t>FUSÍVEL NH 500V-250A,TAM.2,DQN</t>
  </si>
  <si>
    <t>FUSÍVEL NH 500V-400A,TAM.2,DQN</t>
  </si>
  <si>
    <t>FUSÍVEL NH 500V-630A,TAM.3,DQN</t>
  </si>
  <si>
    <t>FUSÍVEL NH 500V-800A,TAM.4,DQN</t>
  </si>
  <si>
    <t>FITA SINALIZAÇÃO,DQN-2057 R1</t>
  </si>
  <si>
    <t>EMENDA RET.CB POTÊNC. MONO. DQ</t>
  </si>
  <si>
    <t>EMENDA RET. CBPOTÊNC. MONO. DQ</t>
  </si>
  <si>
    <t>EMENDA RET. CBPOTÊNC.TETRA. DQ</t>
  </si>
  <si>
    <t>DUTO POLIETILENO 160MM, DQN-18</t>
  </si>
  <si>
    <t>CORDOALHA DE COBRE, 16MM², DQN</t>
  </si>
  <si>
    <t>CORDOALHA DE COBRE, 35MM², DQN</t>
  </si>
  <si>
    <t>CORDOALHA DE COBRE, 70MM², DQN</t>
  </si>
  <si>
    <t>CORDOALHA DE COBRE, 120MM², DQ</t>
  </si>
  <si>
    <t>BARRAM DERIV 0,6/1,0KV,4SAIDAS</t>
  </si>
  <si>
    <t>BARRAM DERIV 0,6/1,0KV,6SAIDAS</t>
  </si>
  <si>
    <t>CBPOTCU16MM²0,6/1KVMONOPDQ</t>
  </si>
  <si>
    <t>BARRAMENTO DE MANOBRA, 15/25KV</t>
  </si>
  <si>
    <t>CBPOTCU35MM²0,6/1KV-MONOPDQ</t>
  </si>
  <si>
    <t>CBPOTCU70MM²-0,6/1KVMONOPD</t>
  </si>
  <si>
    <t>CBPOTCU120MM²0,6/1KVMONOPD</t>
  </si>
  <si>
    <t>CBPOTCU240MM²0,6/1KVMONOPD</t>
  </si>
  <si>
    <t>GABINETE POLIES.REFORÇ. 3 V DQ</t>
  </si>
  <si>
    <t>GABINETE POLIES.REFORÇ. 6V DQN</t>
  </si>
  <si>
    <t>CENTRO TRANSF. C/TRAFO 500KVA,</t>
  </si>
  <si>
    <t>CB,ISO,185MM²,3F,15KV,D21006.0</t>
  </si>
  <si>
    <t>CALHA P/PROT CABO POSTE FIBRA</t>
  </si>
  <si>
    <t>CBPOTCU3X16+16MM²0.6/1KV-T</t>
  </si>
  <si>
    <t>CBPOTCU3X35+35MM²0,6/1KV-TE</t>
  </si>
  <si>
    <t>CBPOTCU3X120+120MM²0,6/1KV</t>
  </si>
  <si>
    <t>CX.DIST.RAML.SEC-CH.SECC.FUS16</t>
  </si>
  <si>
    <t>CH.SECC.CARGA C/FUS400A,P/CX.D</t>
  </si>
  <si>
    <t>CX.DIST.RAML.SEC-CH.SECC.CARGA</t>
  </si>
  <si>
    <t>CHAVE A GÁS 3 VIAS 15KV-400A D</t>
  </si>
  <si>
    <t>CONECTOR DER. P/CORD.CU DQN-20</t>
  </si>
  <si>
    <t>CONECTOR DER. P/ CORD.CU DQN-2</t>
  </si>
  <si>
    <t>CONECTOR DER. P/ CORD. CU DQN-</t>
  </si>
  <si>
    <t>CONECTOR RETO Á COMP., DQN-204</t>
  </si>
  <si>
    <t>CONECTOR TERM.Á COMP., DQN-204</t>
  </si>
  <si>
    <t>CONECTOR TERM,COMP BAR,COND CU</t>
  </si>
  <si>
    <t>CONECTOR RETO À COMP., DQN-204</t>
  </si>
  <si>
    <t>CBPOTEN12/20KVMONOPCU35MM</t>
  </si>
  <si>
    <t>CBPOTCU3X70+70MM²0,6/1KVT</t>
  </si>
  <si>
    <t>CB,ISO,185MM²,15KV,D21006.0</t>
  </si>
  <si>
    <t>TERMIN 12/20KV,CB CU 120mm²-DQ</t>
  </si>
  <si>
    <t>TERM EXT UNIP 95 MM² -240MM²</t>
  </si>
  <si>
    <t>VIA 4CONEC10-35MM² 3 SAIDP/CON</t>
  </si>
  <si>
    <t>VIA 4 CONEC P/COND.50-150MM²DQ</t>
  </si>
  <si>
    <t>CHAVE A GÁS 4 VIAS-15KV-400A-D</t>
  </si>
  <si>
    <t>ELO FUSÍVEL 0,5 H, DED-0094 I.</t>
  </si>
  <si>
    <t>VIA 3CONEC(185-240E1CONEC.50-1</t>
  </si>
  <si>
    <t>RELÉ FOTOELÉTRICO 220V - DED-0</t>
  </si>
  <si>
    <t>FUSÍVEL 15/20KV, 12A, DQN-2040</t>
  </si>
  <si>
    <t>CONECTOR TERM. P/ COND 120 CU</t>
  </si>
  <si>
    <t>CONECTOR TERM P/ COND CU 35MM</t>
  </si>
  <si>
    <t>IDENTIFICADOR FASE, B,DED-19</t>
  </si>
  <si>
    <t>IDENTIFICADOR FASE, C, DED-19</t>
  </si>
  <si>
    <t>COND.CUISOL.750V,4MM²-DED-18</t>
  </si>
  <si>
    <t>COND.CUISOL.750V,16MM²,DED-1</t>
  </si>
  <si>
    <t>COND.CUISOL.750V,50MM²-DED-1</t>
  </si>
  <si>
    <t>COND.CUISOL.750V,70MM²DED-18</t>
  </si>
  <si>
    <t>COND.CUISOL.750V,95MM²,DED-18</t>
  </si>
  <si>
    <t>DISJ TERM BT MONO 2A 5KA DED17</t>
  </si>
  <si>
    <t>DISJ TERM BT MONO 4A 5KA DED-1</t>
  </si>
  <si>
    <t>DISJ TERM BT MONO 6A 5KA DED-1</t>
  </si>
  <si>
    <t>DISJ TERM BT MONO 10A 5KA DED-</t>
  </si>
  <si>
    <t>DISJ TERM BT MONO 15A 5KA DED-</t>
  </si>
  <si>
    <t>DISJ. TERM. MONO 20A 5KA DED17</t>
  </si>
  <si>
    <t>DISJ TERM BT MONO 30A 5KA DED-</t>
  </si>
  <si>
    <t>DISJ TERM BT MONO 50A 5KA DED-</t>
  </si>
  <si>
    <t>DISJ TERM BT BIPO 4A 5KA DED-1</t>
  </si>
  <si>
    <t>DISJ TERM BT BIPO 6A 5KA DED-1</t>
  </si>
  <si>
    <t>DISJ TERM BT BIPO10A 5KA DED-1</t>
  </si>
  <si>
    <t>DISJ TERM BT BIPO20A 5KA DED-1</t>
  </si>
  <si>
    <t>DISJUNTOR TERM BIPOLAR 40A PM1</t>
  </si>
  <si>
    <t>DISJ TERM BT.TRI 4A 5KA DED-17</t>
  </si>
  <si>
    <t>DISJ TERM BT TRI 6A 5KA DED-17</t>
  </si>
  <si>
    <t>DISJ TERM BT TRI 10A 5KA DED-1</t>
  </si>
  <si>
    <t>DISJ TERM BT TRI 20A 5KA DED17</t>
  </si>
  <si>
    <t>ALCA PREFORM.CU,CONC.BIPOL4MM²</t>
  </si>
  <si>
    <t>ALCA,PREF.AÇO,CB CONC.BIP.4MM²</t>
  </si>
  <si>
    <t>ALCA,PREF.AÇO,CB CONC.BIP.6MM</t>
  </si>
  <si>
    <t>CONDUTORCONC.BIPOL.4MM²-DED-</t>
  </si>
  <si>
    <t>SELO,SEGUR,TIPO I, LARANJA, PM</t>
  </si>
  <si>
    <t>ALCA,PREF.AÇO,CB CONC.TETR.10M</t>
  </si>
  <si>
    <t>GABIN POLIES.FIB.VD IP20,BAR12</t>
  </si>
  <si>
    <t>CBCONTRCU0,6/1KV-PM2020I</t>
  </si>
  <si>
    <t>CRUZETA, MADEIRA 2,40M, DQN-20</t>
  </si>
  <si>
    <t>SUPORTE FIXAÇÃO,CX DERIVAÇÃO,D</t>
  </si>
  <si>
    <t>CONEC TERM COMPR P/MED,CB 35,0</t>
  </si>
  <si>
    <t>CONEC TERM COMPR P/MED,CB 70,D</t>
  </si>
  <si>
    <t>SINALIZADOR RISCO ELETRICO,DQN</t>
  </si>
  <si>
    <t>CHAVE SEC TRIP 15kV-400A C/CAR</t>
  </si>
  <si>
    <t>FUSIVEL HH,15KV,6A,20KA DQN-21</t>
  </si>
  <si>
    <t>FUSIVEL HH,15KV,P/CH.SECC.TRIP</t>
  </si>
  <si>
    <t>CBCONC.BIP.C/PILOTO,4MM²(F/N</t>
  </si>
  <si>
    <t>SECC.BT MONO,PD=1,PS=1,40A,127</t>
  </si>
  <si>
    <t>SECC.BT BIF.PD=1,PS=2, 50A,220</t>
  </si>
  <si>
    <t>SECC.BT TRIF.PD=1,PS=3,50A,220</t>
  </si>
  <si>
    <t>ABRAÇADEIRA P/ FIX.RAMAL LIG.D</t>
  </si>
  <si>
    <t>CAIXA DERIV. P/ SECCIONA. BT D</t>
  </si>
  <si>
    <t>FUSIVEL TIPO HH 15KV,8A,20KA-D</t>
  </si>
  <si>
    <t>BLOCO TERMINAL,600V,90A, DQN-2</t>
  </si>
  <si>
    <t>SUPORTE P/FIXAÇ.CX.DERIV.SECUN</t>
  </si>
  <si>
    <t>MICRO SWITCH - DQN-2132 R.1</t>
  </si>
  <si>
    <t>TUBO BORR.SILICON.BRANCA DQN-2</t>
  </si>
  <si>
    <t>TUBO BORR.SILICON.VERMELHA DQN</t>
  </si>
  <si>
    <t>DEGRAU P/CB,CX.SUBTERRAN.-DQN-</t>
  </si>
  <si>
    <t>CONEC TERM PINO TUBUL,VERMEL,D</t>
  </si>
  <si>
    <t>MEDIDOR,KWH POLIF.2EL.3F.-A RE</t>
  </si>
  <si>
    <t>MEDIDOR,KWH POLIF.3 ELEM.3F.-A</t>
  </si>
  <si>
    <t>MEDIDOR,KWH MONOF 1 ELEM 2-A R</t>
  </si>
  <si>
    <t>DISJ,145KV,2000A,40KA,ESE002</t>
  </si>
  <si>
    <t>CBCONTRC/BLINDAGEM4X2,5MM²-</t>
  </si>
  <si>
    <t>CBCONTRC/BLINDAGEM4X4,0MM²-</t>
  </si>
  <si>
    <t>IDENTIFADOR DISP.RAMAL LIG-DQN</t>
  </si>
  <si>
    <t>IDENTIFADOR ROLOS ETIQ.LIG-DQN</t>
  </si>
  <si>
    <t>IDENTIFADOR ROLOS ETIQ.Nº1-DQN</t>
  </si>
  <si>
    <t>IDENTIFADOR ROLOS ETIQ.Nº2-DQN</t>
  </si>
  <si>
    <t>IDENTIFADOR ROLOS ETIQ.Nº3-DQN</t>
  </si>
  <si>
    <t>IDENTIFADOR ROLOS ETIQ.Nº4-DQN</t>
  </si>
  <si>
    <t>IDENTIFADOR ROLOS ETIQ.Nº5-DQN</t>
  </si>
  <si>
    <t>IDENTIFADOR,ROLOS ETIQ.Nº6-DQN</t>
  </si>
  <si>
    <t>IDENTIFADOR,ROLOS ETIQ.Nº7-DQN</t>
  </si>
  <si>
    <t>IDENTIFADOR,ROLOS ETIQ.Nº8-DQN</t>
  </si>
  <si>
    <t>IDENTIFADOR,ROLOS ETIQ.Nº9-DQN</t>
  </si>
  <si>
    <t>CX.MEDIÇÃO INDIRETA,LIGA AL DE</t>
  </si>
  <si>
    <t>ELETRODUTO FLEX.AÇO,COB.PVC,50</t>
  </si>
  <si>
    <t>LUVA PVC P/ELETRODUTO 50MM-DQN</t>
  </si>
  <si>
    <t>LAMPADA VS TUBUL.220VX100W DED</t>
  </si>
  <si>
    <t>LAMPADA VS TUBUL.220VX150W DED</t>
  </si>
  <si>
    <t>LAMPADA VS TUBUL.220VX250W DED</t>
  </si>
  <si>
    <t>TC 1-5A 15KV DQN - 2022 I.1</t>
  </si>
  <si>
    <t>LUMINARIA INT.P/LAMP.VS 100W-</t>
  </si>
  <si>
    <t>LUMINARIA INT.P/LAMP.VS 150W</t>
  </si>
  <si>
    <t>LUMINARIA INT.P/LAMP.VS 250W</t>
  </si>
  <si>
    <t>CX DISJ TERM TRIFASICO ATE 125</t>
  </si>
  <si>
    <t>BUCHA P/ELETROD.DE PVC,50MM-1¹</t>
  </si>
  <si>
    <t>BUCHA P/ELETROD.DE PVC,75MM-2¹</t>
  </si>
  <si>
    <t>BUCHA P/ELETROD.DE PVC,100MM-4</t>
  </si>
  <si>
    <t>CONECTOR,P/ELETRODUTO,50MM-1¹/</t>
  </si>
  <si>
    <t>KIT REMOV.P/LÂMP.VS 100W-DQN-2</t>
  </si>
  <si>
    <t>KIT REMOV.P/LÂMP.VS 150W-DQN-2</t>
  </si>
  <si>
    <t>KIT REMOV.P/LÂMP.VS 250W-DQN-2</t>
  </si>
  <si>
    <t>FUSÍVEL NH 500V-500A,TAM.3,DQN</t>
  </si>
  <si>
    <t>FUSÍVEL NH 500V-1000A,TAM.4,DQ</t>
  </si>
  <si>
    <t>PINO TOPO LIGA AL ISOLADOR PIL</t>
  </si>
  <si>
    <t>PORTA FUSÍVEL 100A p/CH RELIGA</t>
  </si>
  <si>
    <t>CJT 3ELEM.TRAN .MED.MT,150/200</t>
  </si>
  <si>
    <t>LUVA EMEND.TENSÃO,CAA1/0AWG,DE</t>
  </si>
  <si>
    <t>BARRAM.DERIV.0,6/1,0KV,8SAIDAS</t>
  </si>
  <si>
    <t>CONDUTORALCAA100-A1/S1A-6/1</t>
  </si>
  <si>
    <t>TRAFO 500kVA TIPO PEDESTAL</t>
  </si>
  <si>
    <t>TRAFO DIST PEDESTAL,500KVA,DQN</t>
  </si>
  <si>
    <t>CONEC,COMPR H AL/AL-AL/CU DED-</t>
  </si>
  <si>
    <t>CX.MEDID.POLIF+TRAVA,TAMPA-PM</t>
  </si>
  <si>
    <t>CABO PRE-REUN AL,3X35+50,PM-19</t>
  </si>
  <si>
    <t>CABO DE AL trip 70 MM²</t>
  </si>
  <si>
    <t>TAMPAO DUTO 75MM DIAM, DQN-183</t>
  </si>
  <si>
    <t>TAMPÃO DUTO,100MM DIAM, DQN-18</t>
  </si>
  <si>
    <t>LUVA EMENDA,DUTO 75MM,DQN-1838</t>
  </si>
  <si>
    <t>LUVA EMENDA,DUTO 100MM,DQN-183</t>
  </si>
  <si>
    <t>LUVA TRANSIÇÃO,DUTO 100MM,DQN1</t>
  </si>
  <si>
    <t>ELETROD RIG AÇO ZINC,65MM,DED1</t>
  </si>
  <si>
    <t>ELETROD RIG AÇO ZINC,100MM,DED</t>
  </si>
  <si>
    <t>ELETROD RIG AÇO ZINC,125MM,DED</t>
  </si>
  <si>
    <t>TRAFO POTENCIA SECO,500KVA</t>
  </si>
  <si>
    <t>TP SECO,500KVA,PM-2165 I.2</t>
  </si>
  <si>
    <t>MAO FRANC.PERFILADA LG AL,1971</t>
  </si>
  <si>
    <t>MAO FRANC.PERFILADA LG AL,2548</t>
  </si>
  <si>
    <t>LIMITADOR CARGA MONO,2A,REP AU</t>
  </si>
  <si>
    <t>LIMITADOR CARGA MONO,6A,REP AU</t>
  </si>
  <si>
    <t>CBPRE-REUCU,0,6/1KV,3X25+25,</t>
  </si>
  <si>
    <t>CBPRE-REUCU,0,6/1KV,3X16+16,</t>
  </si>
  <si>
    <t>CONEC PERF ISOL,CB 16-95/4-35M</t>
  </si>
  <si>
    <t>CONEC PERF ISOL,CB16-150/1,5-6</t>
  </si>
  <si>
    <t>LIMITADOR CARGA MONO,10A REP A</t>
  </si>
  <si>
    <t>SUPORTE P/CONCENTRADOR MEDIÇÃO</t>
  </si>
  <si>
    <t>LUVA EMENDA ISOL,CB AL BT 35MM</t>
  </si>
  <si>
    <t>LUVA EMENDA ISOL,CB AL BT 50MM</t>
  </si>
  <si>
    <t>LUVA EMENDA ISOL,CB LG BT 50MM</t>
  </si>
  <si>
    <t>LUVA EMENDA ISOL,CB LG BT 70MM</t>
  </si>
  <si>
    <t>LUVA EMENDA ISOL,CB AL BT 95MM</t>
  </si>
  <si>
    <t>LUVA EMENDA ISOL,CB AL BT150MM</t>
  </si>
  <si>
    <t>ABRAÇADEIRA NYLON 100mm DDT-17</t>
  </si>
  <si>
    <t>TUBO TERMOCONTRATIL 13MM-6,5MM</t>
  </si>
  <si>
    <t>MED ELETR, 1F,Act15,100A,120V,</t>
  </si>
  <si>
    <t>CONEC.CUN.AZUL,D=6,53-8,46,DED</t>
  </si>
  <si>
    <t>CONEC,CUN.DERV.UNIF.VRM/AZ/AM,</t>
  </si>
  <si>
    <t>PERFIL,U 76X38MMX3000MM,AÇO,D</t>
  </si>
  <si>
    <t>CX AÇO,CONCENTRADOR MEDIÇÃO,PM</t>
  </si>
  <si>
    <t>CONEC TERM COMPR P/MED,CB 16,0</t>
  </si>
  <si>
    <t>CONDUTORAÇOCOBREAD,7F,35mm,P</t>
  </si>
  <si>
    <t>SEPARADOR TRAVA,BT/MT,CB CA,CU</t>
  </si>
  <si>
    <t>FIO AÇO COBREADO,B=10mm²,PM-21</t>
  </si>
  <si>
    <t>FIO AÇO COBREADO,B=16mm²,PM-21</t>
  </si>
  <si>
    <t>CHAVE SEC TRIP 15kV-400A S/CAR</t>
  </si>
  <si>
    <t>CJ PROT FORN ENERG MT,13,8KV,P</t>
  </si>
  <si>
    <t>CBCUISOLXLPE0,6/1KV16MM²</t>
  </si>
  <si>
    <t>CBCUISOLXLPE0,6/1KV35MM²</t>
  </si>
  <si>
    <t>CX.MEDID.POLIF,TRAVA TAMPA,VIS</t>
  </si>
  <si>
    <t>TR,DIST,3F,15KVA,RECUP</t>
  </si>
  <si>
    <t>TRAFO,3F,30KVA,REC,GST001</t>
  </si>
  <si>
    <t>TRAFO,3F,45KVA,REC,GST001</t>
  </si>
  <si>
    <t>TRAFO,3F,75KVA,REC,GST001</t>
  </si>
  <si>
    <t>TRAFO,3F,112,5KVA,RECUPERADO</t>
  </si>
  <si>
    <t>TC 200A-5A 0,6KV TIPO JANELA-P</t>
  </si>
  <si>
    <t>TC 300-5A 0,6KV TIPO JANELA-PM</t>
  </si>
  <si>
    <t>TC 400-5A - 0,6KV TIPO JANELA,</t>
  </si>
  <si>
    <t>TRAFO,2F,10KVA,REC,GST001</t>
  </si>
  <si>
    <t>TRAFO,2F,15KVA,REC,GST001</t>
  </si>
  <si>
    <t>TRAFO,2F,DIST,25KVA,RECUP</t>
  </si>
  <si>
    <t>TRAFO,3F,150KVA,REC,GST001</t>
  </si>
  <si>
    <t>TRAFO TRI 225KVA MINERAL RECUP</t>
  </si>
  <si>
    <t>TRAFO,3F,300KVA,REC,GST001</t>
  </si>
  <si>
    <t>TRAFO,1F,10KVA,REC,GST001</t>
  </si>
  <si>
    <t>TRAFO,1F,15KVA,REC,GST001</t>
  </si>
  <si>
    <t>TRAFO,DIST,MON,25VA,REC</t>
  </si>
  <si>
    <t>TRAFO,DIST,MON,5VA,REC</t>
  </si>
  <si>
    <t>TRAFO,DIST,BIF,5VA,REC</t>
  </si>
  <si>
    <t>SUPORTE INCLI P/SECC UNIPOLAR</t>
  </si>
  <si>
    <t>SUPORTE HORIZ P/SECC UNIPOLAR</t>
  </si>
  <si>
    <t>SECCIONADORA UNIP,400A,15KV,PM</t>
  </si>
  <si>
    <t>SECCIONADORA UNIP,630A,95KV</t>
  </si>
  <si>
    <t>ZMD118AMT.9000 PLAT ZD318 SGPM</t>
  </si>
  <si>
    <t>ALCA PREF OLH DIST,CB CAA 4AWG</t>
  </si>
  <si>
    <t>ALCA PREF OLH DIST,CB AL CA2AW</t>
  </si>
  <si>
    <t>ALCA PREF OLH DIST,CB AL 1/0AW</t>
  </si>
  <si>
    <t>ALCA PREF OLH DIST,CB AL 336,4</t>
  </si>
  <si>
    <t>PRENSA-CABO,GERAL,CB 6-12MM,PM</t>
  </si>
  <si>
    <t>PRENSA-CABO,USO GERAL,PM-2193</t>
  </si>
  <si>
    <t>CX TC,JANELA,MACROMEDIÇÃO,PM-2</t>
  </si>
  <si>
    <t>ESP,LOS,C/TRAVA,15KV,D53001.0</t>
  </si>
  <si>
    <t>ALÇA,DIST,SP,35MM²,PM2276.1</t>
  </si>
  <si>
    <t>CONEC.CUN.VERM,D=6,53-10,11,DE</t>
  </si>
  <si>
    <t>CONEC.CUN.AZL,D=8,23-12,70,DED</t>
  </si>
  <si>
    <t>CABO PRE-REUN AL 3x95+1x70MM²</t>
  </si>
  <si>
    <t>ADAPTADOR L P/TERMINAL,PM2195</t>
  </si>
  <si>
    <t>KIT REMOV.P/LÂMP.VS 70W-DQN-21</t>
  </si>
  <si>
    <t>CONTROLE COMANDO BANCO CAPACIT</t>
  </si>
  <si>
    <t>POSTE EUCAL.TRAT.9MX600DAN,DED</t>
  </si>
  <si>
    <t>CONEC ESTR CUNH,CA/CAA4/0+CARA</t>
  </si>
  <si>
    <t>TAMPA INTER,AÇO CARB,CX RD SUB</t>
  </si>
  <si>
    <t>TAMPA INTER,AÇO CARB</t>
  </si>
  <si>
    <t>CONECTOR DERIV COMPR,COND CU,P</t>
  </si>
  <si>
    <t>CONECTOR DERIV COMPR COND CU P</t>
  </si>
  <si>
    <t>LUVA EMENDA ISOL,CB AL BT 35-5</t>
  </si>
  <si>
    <t>LUVA EMENDA ISOL,CB AL BT 50/9</t>
  </si>
  <si>
    <t>ELETROD RIG AÇO ZINC,50MM,DED1</t>
  </si>
  <si>
    <t>ZMD118AMT.9000PLAT ZD318 SGPM</t>
  </si>
  <si>
    <t>CX BLIN,BUCH,BT,TRAF,TRI,PM221</t>
  </si>
  <si>
    <t>SUPORT FIX P-RAIO</t>
  </si>
  <si>
    <t>ESTRIBO PARA CHAVE FUSÍVEL</t>
  </si>
  <si>
    <t>COBERTURA P/CON 15KV,PM2208</t>
  </si>
  <si>
    <t>PROLONG. DE POSTE AÇO,PM2211</t>
  </si>
  <si>
    <t>ALCA PREF OLH DIST,CB 50MM²-PM</t>
  </si>
  <si>
    <t>ALÇA PREF LIGA AL,70MM²</t>
  </si>
  <si>
    <t>CBCONTRCU3x2,5MM²-PM2020</t>
  </si>
  <si>
    <t>CJT 3 ELEM.TRANSF.MED.MT,10A,P</t>
  </si>
  <si>
    <t>MEDIDOR ELETR,SAGA2000-1641,ME</t>
  </si>
  <si>
    <t>CONEC TERM BC 2F 400A</t>
  </si>
  <si>
    <t>EMEN,RETA,AL 70MM,MT,PM2031</t>
  </si>
  <si>
    <t>CABO CONTROLE BLIND,2X1,5MM²</t>
  </si>
  <si>
    <t>CART CONEC CUNHA,METAL,AZUL</t>
  </si>
  <si>
    <t>CJT 3 ELEM.TRANSF.MED.MT 15-20</t>
  </si>
  <si>
    <t>CART CONEC CUNH METAL,VERM</t>
  </si>
  <si>
    <t>POSTE CC,MICRO SILICA,16X1000D</t>
  </si>
  <si>
    <t>POSTE CC,MICRO SILICA,20X1200D</t>
  </si>
  <si>
    <t>POSTE BIPARTIDO PARTE INFERIOR</t>
  </si>
  <si>
    <t>POSTE BIPARTID,PART SUPER 5M</t>
  </si>
  <si>
    <t>POSTE BIPARTID,PART SUPER 7M</t>
  </si>
  <si>
    <t>BARRAM MANO 8,7/15kV BTX600A</t>
  </si>
  <si>
    <t>CONEC,TERM,COMP,COND 4AWG CAA,</t>
  </si>
  <si>
    <t>CONEC,TERM,COMP,CABO 2CA/35mm</t>
  </si>
  <si>
    <t>CONECTOR TERM COMPR,AL,70MM2</t>
  </si>
  <si>
    <t>Conector Compr AL 150MM</t>
  </si>
  <si>
    <t>LIMITADOR CARG REPO MON AUT</t>
  </si>
  <si>
    <t>CB,ISO,400MM²,15KV,D21006.0</t>
  </si>
  <si>
    <t>CONEC. ENC. FEM. ISOL, 0,3MM2,</t>
  </si>
  <si>
    <t>CABO,CC,AL,4X35MM²,EBT003.3</t>
  </si>
  <si>
    <t>CABO,CC,AL,4X50MM²,EBT003</t>
  </si>
  <si>
    <t>CON,TER,COMP,240MM²,D71038.0</t>
  </si>
  <si>
    <t>CABO UNI,AL,ISOL,RD SUB BT 25</t>
  </si>
  <si>
    <t>CABO UNI,AL,ISOL SUB BT 70MM</t>
  </si>
  <si>
    <t>CB UNI,AL,ISOL,RD SUB BT 120MM</t>
  </si>
  <si>
    <t>COND ISOLADO 240MM² AL 06/1KV</t>
  </si>
  <si>
    <t>CABO,AAAC,ENG,70MM²,D21103.0</t>
  </si>
  <si>
    <t>CB,ISOL,70MM²,3F,15KV,D21006.0</t>
  </si>
  <si>
    <t>CB,ISO,630MM²,15KV,D21006.0</t>
  </si>
  <si>
    <t>CABO DE AÇO COBREADO DE 6mm²</t>
  </si>
  <si>
    <t>CABO,AAAC,ENG,50MM²,D21103.0</t>
  </si>
  <si>
    <t>CB,AAAC,ENG,25MM²,D21103.0</t>
  </si>
  <si>
    <t>LÂMINA DESLIGAD TIPO C 15KV</t>
  </si>
  <si>
    <t>CB CU POT TRIPLEX 8,7/15KV,35M</t>
  </si>
  <si>
    <t>CB CU POT TRIP 8,7/15KV,120MM²</t>
  </si>
  <si>
    <t>CB CU POT UNIP 8,7/15KV,35MM²,</t>
  </si>
  <si>
    <t>CB CU POT UNIP 8,7/15KV,120MM²</t>
  </si>
  <si>
    <t>TRAFO,POT,A2,15MVA,C/C,GST002</t>
  </si>
  <si>
    <t>CAIXA MET MED ELET PM2179 I2</t>
  </si>
  <si>
    <t>TERMINAL À COMPR. 6,0mm²</t>
  </si>
  <si>
    <t>TERMINAL À COMPR.10,0mm²</t>
  </si>
  <si>
    <t>TERMINAL À COMPR.25,0mm²</t>
  </si>
  <si>
    <t>PARAFUSO ROSCA TOTAL M4</t>
  </si>
  <si>
    <t>PARAFUSO ROSCA TOTAL M5</t>
  </si>
  <si>
    <t>PARAFUSO ROSCA TOTAL M10</t>
  </si>
  <si>
    <t>CABO CONCENTRICO BIP AL 10MM,P</t>
  </si>
  <si>
    <t>CONECTOR ADAPT. 6mm,CONDUT AL,</t>
  </si>
  <si>
    <t>CINTA POSTE CIRC.AL 180MM</t>
  </si>
  <si>
    <t>CINTA POSTE CIRC.AL 200MM</t>
  </si>
  <si>
    <t>CINTA POSTE CIRC.AL 220MM</t>
  </si>
  <si>
    <t>ALCAPRECO.TE35PM2276TIPOIII4R1</t>
  </si>
  <si>
    <t>ALCA PREF ACOCB CONC TETR 50MM</t>
  </si>
  <si>
    <t>ALCA PREF OLH DIST,CB 25MM-PM2</t>
  </si>
  <si>
    <t>CABO CONCENTRICO BIP AL 6MM,PM</t>
  </si>
  <si>
    <t>CABO CONCENTRICO BIP AL 16MM,P</t>
  </si>
  <si>
    <t>CINTA POSTE CIRC.AL 160MM</t>
  </si>
  <si>
    <t>CINTA POSTE CIRC.AL 240MM</t>
  </si>
  <si>
    <t>CINTA POSTE CIRC.AL 260MM</t>
  </si>
  <si>
    <t>CINTA POSTE CIRC.AL 280MM</t>
  </si>
  <si>
    <t>MEDIDOR POLIF ATIV /REATIV,0,5</t>
  </si>
  <si>
    <t>CAPA,PROT,CONEC CUNHA, T1/0-D1</t>
  </si>
  <si>
    <t>COBERT CONECT CUNH ESTRIB</t>
  </si>
  <si>
    <t>LUVA EMENDA TENSAO COND AL25MM</t>
  </si>
  <si>
    <t>LUVA EMENDA TENSAO COND AL50MM</t>
  </si>
  <si>
    <t>LUVA EMENDA TENSAO COND AL70MM</t>
  </si>
  <si>
    <t>LUVA EMENDA TENSAO CONDAL160MM</t>
  </si>
  <si>
    <t>CONEC,TERM,COMP,CABO 25AAAC/16</t>
  </si>
  <si>
    <t>Conector Term Compr AL 120MM</t>
  </si>
  <si>
    <t>CONECTOR TERM COMPR,AAAC160MM</t>
  </si>
  <si>
    <t>CAIXA IND LEIT CONSUM ENERGI1</t>
  </si>
  <si>
    <t>CRUZETA POLIMERICA, 2M, PM-224</t>
  </si>
  <si>
    <t>CRUZETA POLIMERICA, 2,4M, PM-2</t>
  </si>
  <si>
    <t>CABO,AAAC,ENG,200,D21103.0</t>
  </si>
  <si>
    <t>DUTO POLIETILENO 200MM</t>
  </si>
  <si>
    <t>MEDIDOR ELETR POLIF,ATV/REAT,1</t>
  </si>
  <si>
    <t>EMENDA RETA,CB MT,AL 400MM</t>
  </si>
  <si>
    <t>TP,EXT,145KV,529VA,138/RQ3KV</t>
  </si>
  <si>
    <t>MEDIDOR ELETR BIF,MED DIR,15</t>
  </si>
  <si>
    <t>MEDIDOR ELETR TRIF,MED DIR,15(</t>
  </si>
  <si>
    <t>CONECTOR CUNHA,CB50MM².PM1867</t>
  </si>
  <si>
    <t>ONECTOR CUNHA,CB95MM².PM1867</t>
  </si>
  <si>
    <t>CONECTOR CUNHA,CB150MM².PM1867</t>
  </si>
  <si>
    <t>CAPA PROTET CONEX CB CONC AL</t>
  </si>
  <si>
    <t>SECCIONADORA,UNIP,400A,95KV</t>
  </si>
  <si>
    <t>SEC UNI 17,5 630A</t>
  </si>
  <si>
    <t>ISOLADOR SUPORTE MACIÇO,17,5KV</t>
  </si>
  <si>
    <t>ISOL,ANC,POL,35KV,EMT011</t>
  </si>
  <si>
    <t>ALCA PREF CONC 6mm²</t>
  </si>
  <si>
    <t>ALCA PREF AL,CB CONC 10MM</t>
  </si>
  <si>
    <t>ALCA PRE CONC 16mm²</t>
  </si>
  <si>
    <t>ALCA PRE CONC.BI 10</t>
  </si>
  <si>
    <t>ALCA PREF,CB CONC BIP AL 16MM,</t>
  </si>
  <si>
    <t>CONECTOR TERM COND AL 35MM</t>
  </si>
  <si>
    <t>CONECTOR TERM, COND AL 50MM</t>
  </si>
  <si>
    <t>MEDIDOR ENERGIA (BI) SAMURAI</t>
  </si>
  <si>
    <t>MEDIDOR ENERGIA ATIVA,BIF,15-1</t>
  </si>
  <si>
    <t>CABO POT 8,7-15KV,TRIP,AL,70MM</t>
  </si>
  <si>
    <t>Conector cunha de aterramento</t>
  </si>
  <si>
    <t>PORTA FUSIVEL GRAMPO LINHA VIV</t>
  </si>
  <si>
    <t>ALÇA PREF AL CB AAAC 25MM</t>
  </si>
  <si>
    <t>ALCA PREF AL,CB AAAC,50MM,PM22</t>
  </si>
  <si>
    <t>POSTE,CC,16M,2000DAN,DED0054</t>
  </si>
  <si>
    <t>ALCA PREF AL,CB AAAC, 70MM</t>
  </si>
  <si>
    <t>TERMINAL DESCONECTÁVEL TDC200A</t>
  </si>
  <si>
    <t>CB,AAAC,160MM²,D21103.0</t>
  </si>
  <si>
    <t>CABO,CAA,4/0AWG,A,D21102.1</t>
  </si>
  <si>
    <t>CABO,CAA,266AWG,A,D21102.1</t>
  </si>
  <si>
    <t>CONECTOR ADAP,CONDUT AL 10mm</t>
  </si>
  <si>
    <t>CONECTOR ADAP. 16mm,CONDUT AL</t>
  </si>
  <si>
    <t>TRANSFORMADOR POT,138/69KV</t>
  </si>
  <si>
    <t>TRAFO,POT,A9,83MVA,C/C,GST002</t>
  </si>
  <si>
    <t>CX BLIND MONO,BIF TQ CIRCUL</t>
  </si>
  <si>
    <t>CX BLIND TIPO V 150kVA</t>
  </si>
  <si>
    <t>ISOL,SUP,MAC,POR,36KV,D50051.0</t>
  </si>
  <si>
    <t>MEDIDOR ENERG ATIVA,TRIF,15-12</t>
  </si>
  <si>
    <t>MEDIDOR ENERG ATIVA,BIF,15-120</t>
  </si>
  <si>
    <t>CABO PRE-REUN AL,2X16+25,PM-19</t>
  </si>
  <si>
    <t>CB,AAAC,25MM²,D21103.0</t>
  </si>
  <si>
    <t>CB,AAAC,50MM²,D21103.0</t>
  </si>
  <si>
    <t>GRAMPO ANCOR POLIM CB AL</t>
  </si>
  <si>
    <t>TP SECO,1000KVA,PM-2165 I.3</t>
  </si>
  <si>
    <t>CONJ TRANSFORM,MEDIÇÃO,MT PM19</t>
  </si>
  <si>
    <t>ALCA,PREF AÇO,CB PRE-REUN 25MM</t>
  </si>
  <si>
    <t>ALCA PREF CAL 25mm² PM2276 TIP</t>
  </si>
  <si>
    <t>POSTE,CIR,FIB,9M,200DAN,D2268</t>
  </si>
  <si>
    <t>POSTE,CIR,FIB,11M,400DAN,D2268</t>
  </si>
  <si>
    <t>ALCA PREF COR AÇ 7,9MMX3630DAN</t>
  </si>
  <si>
    <t>ALCA PREF COR AÇ 9,5MMX6990DAN</t>
  </si>
  <si>
    <t>POSTE,BIP,FIB,9M,200DAN,D2268</t>
  </si>
  <si>
    <t>POSTE,BIP,FIB,11M,400DAN,D2268</t>
  </si>
  <si>
    <t>POSTE,DT,16M,1500DAN,PM0055</t>
  </si>
  <si>
    <t>VIGCONCDT11MEIXO12MBARRANELFIX</t>
  </si>
  <si>
    <t>VIGA CONC DT SEC VERT VAO 11M</t>
  </si>
  <si>
    <t>VIGA CONC DT SEC HOR. VAO 11M</t>
  </si>
  <si>
    <t>VIGA CONC DT SEC VERT. VAO 11M</t>
  </si>
  <si>
    <t>ELETRODUTO FLEX ,AÇO,PVC, 3</t>
  </si>
  <si>
    <t>ELETRODUTO FLEX AÇO,PVC 1/2</t>
  </si>
  <si>
    <t>Condutor de aço cobreado 120 m</t>
  </si>
  <si>
    <t>CH,MONO1250A15KV25KANBI110-INV</t>
  </si>
  <si>
    <t>CAIXA IND LEIT CONSU ENERG,I2</t>
  </si>
  <si>
    <t>CONECTOR ADAPT. 10mm,CONDUT AL</t>
  </si>
  <si>
    <t>CONECTOR ADAPT. 16mm,CONDUT AL</t>
  </si>
  <si>
    <t>BRAÇO35KV,C,SP,D45501.0</t>
  </si>
  <si>
    <t>Grampo de ancoragem</t>
  </si>
  <si>
    <t>ISOL,PINO,POLIM,35KV,SP,EMT010</t>
  </si>
  <si>
    <t>Pára-raios de distribuição</t>
  </si>
  <si>
    <t>CHAVE, TIPO A1, 630A-36KV,SECC</t>
  </si>
  <si>
    <t>CH17,5KV-A9-2000AMONO T V-25KA</t>
  </si>
  <si>
    <t>CH17,5KV-2000A-MAN-TRIPOL-VERT</t>
  </si>
  <si>
    <t>SELO,SEGUR,TIPO II, AMARELO</t>
  </si>
  <si>
    <t>SELO,SEGUR,TIPO II, BRANCO</t>
  </si>
  <si>
    <t>SELO,SEGUR,TIPO II, LARANJA</t>
  </si>
  <si>
    <t>SELO,SEGUR,TIPO II, VERDE</t>
  </si>
  <si>
    <t>LAÇO PREF.AÇO,CB PR. 25MM²-PM1</t>
  </si>
  <si>
    <t>MED TRIF 120-240 V (2,5-10 A)</t>
  </si>
  <si>
    <t>MEDIDOR TRI NP57(120V)</t>
  </si>
  <si>
    <t>PRENSA-CABO FIXELE 1</t>
  </si>
  <si>
    <t>MEDIDOR,ENERGIA ATIVA,MONO,15-</t>
  </si>
  <si>
    <t>ESPAÇ,VER,3F,15KV,D53001.0</t>
  </si>
  <si>
    <t>PROT FACIALINCOLOR RISCO ELÉTR</t>
  </si>
  <si>
    <t>CBAL70MM²PROT,MT,XLPE34</t>
  </si>
  <si>
    <t>ALCA PREFORM.CB COB.70MM²</t>
  </si>
  <si>
    <t>BRAÇO,ANT-BAL,SP,35KV,D53005.0</t>
  </si>
  <si>
    <t>ESPAç,LOSANG,SP,36KV,D53001.0</t>
  </si>
  <si>
    <t>AUTOTRANSFO69-34,5KV15/20MVA</t>
  </si>
  <si>
    <t>TRAFO,POT,A3,41MVA,C/C,GST002</t>
  </si>
  <si>
    <t>CUB,13,8KV,2500A,11PA,ESE008</t>
  </si>
  <si>
    <t>CUB,11,9KV,3150A,22PA,ESE008</t>
  </si>
  <si>
    <t>PROT DE COND DE BT I1 220.30.0</t>
  </si>
  <si>
    <t>BC,CAP,13,8KV,2,4MVAR,ESE009</t>
  </si>
  <si>
    <t>MED ELETRO TRIFASICO 2,5-10A</t>
  </si>
  <si>
    <t>CONCENTRADOR,PRIMARIO,540X360X</t>
  </si>
  <si>
    <t>CONCENTRADOR,SECUNDARIO,540X36</t>
  </si>
  <si>
    <t>CUB,11,9KV,3150A,10PA,ESE008</t>
  </si>
  <si>
    <t>TC 138-145 KV 60 HZ 120:1 USO</t>
  </si>
  <si>
    <t>TC72,5KVA102x300/200-5AEXTE</t>
  </si>
  <si>
    <t>TC 34,5-36,2 KV 60 HZ 40:1 USO</t>
  </si>
  <si>
    <t>TP 34,5-36,2 KV 60 HZ USO EXTE</t>
  </si>
  <si>
    <t>TP 15KV 13800/ 115V USO INT.</t>
  </si>
  <si>
    <t>TP 38KV,EXT 34500/R3,115V,500V</t>
  </si>
  <si>
    <t>ALCA PREF CAL 50MM² TIPO I PM2</t>
  </si>
  <si>
    <t>LAÇO PRE LIG CAL25 PM2276</t>
  </si>
  <si>
    <t>LAÇO PRE LIG CAL50 PM2276</t>
  </si>
  <si>
    <t>ALCA PREF CAL MT 50</t>
  </si>
  <si>
    <t>ALCA PREF CAL MT 70</t>
  </si>
  <si>
    <t>LAÇO PRE LIG CAL 160 PM2276 TI</t>
  </si>
  <si>
    <t>LAÇO PRE AÇO CA 336,4 PM2276 T</t>
  </si>
  <si>
    <t>LAÇO PRE AÇO CAL 25 PM2276 TIP</t>
  </si>
  <si>
    <t>LAÇO PRE AÇO CAL 70 PM2276 TIP</t>
  </si>
  <si>
    <t>LAÇO PRE AÇO CAL 160 PM2276 TI</t>
  </si>
  <si>
    <t>LAÇO PRE LIGA CAL25 PM2276</t>
  </si>
  <si>
    <t>LAÇO PRE LIGA CAL50 PM2276</t>
  </si>
  <si>
    <t>LAÇO PRE LIG CAL70 PM2276</t>
  </si>
  <si>
    <t>TC145KV1200-5-5-5-5AE-SE-005</t>
  </si>
  <si>
    <t>COND PRE REUN AL CAP EXT 50MM²</t>
  </si>
  <si>
    <t>COND PRE REUN AL CAP EXT 95MM²</t>
  </si>
  <si>
    <t>COND PRE REUN AL CAP EXT 150MM</t>
  </si>
  <si>
    <t>TC145KVEXT400/600/800/10001-1A</t>
  </si>
  <si>
    <t>TC,17,5kV,A1,ESE007</t>
  </si>
  <si>
    <t>CH,72KV,1250A,V,&lt;10,GSH003</t>
  </si>
  <si>
    <t>SUP TRAFO POSTE CIRC.345MM</t>
  </si>
  <si>
    <t>SUP TRAFO POSTE CIRC.310MM</t>
  </si>
  <si>
    <t>ALÇA,AÇO,TII,COB,50MM,PM2276</t>
  </si>
  <si>
    <t>ALÇA,AÇO,TII,COB,95MM,PM2276</t>
  </si>
  <si>
    <t>ALÇA,AÇO,TII,COB,150MM,PM2276</t>
  </si>
  <si>
    <t>LAÇO,AÇO,T IX,COB 95MM,PM2276</t>
  </si>
  <si>
    <t>LAÇO,AÇO,T IX,COB 150MM,PM2276</t>
  </si>
  <si>
    <t>GLV 400A</t>
  </si>
  <si>
    <t>TC,34,5kV,A3,ESE007</t>
  </si>
  <si>
    <t>CONEC CUNHA EST, CB 336,4MCM</t>
  </si>
  <si>
    <t>CONEC CUNHA AZUL D15,018,50</t>
  </si>
  <si>
    <t>LAÇO PR AÇO CAA 4AWG</t>
  </si>
  <si>
    <t>CONEC CUNHA EST,CB 185MM2</t>
  </si>
  <si>
    <t>TC,34,5KV,A8,ESE007</t>
  </si>
  <si>
    <t>VIGA CONC DT VAO DE 11M E 9M</t>
  </si>
  <si>
    <t>CONEC CUNHA EST,CB 50MM2</t>
  </si>
  <si>
    <t>TRAFO,POT,A10,12MVA,C/C,GST002</t>
  </si>
  <si>
    <t>ARRUELA,RED,AZ,16X1X6MM,D41001</t>
  </si>
  <si>
    <t>ARRUELA,RED,AZ,22X2X12,D41001</t>
  </si>
  <si>
    <t>ARRUELA,RED,AZ,28X3X14,D41001</t>
  </si>
  <si>
    <t>ARRUELA,RED,AZ,36X3X18,D41001</t>
  </si>
  <si>
    <t>ARRUELA,RED,AZ,44X5X22,D41001</t>
  </si>
  <si>
    <t>GRAMP,336CA,D73030.0</t>
  </si>
  <si>
    <t>GRAMP,336MCM,D73030.0</t>
  </si>
  <si>
    <t>GRAMP,266CAA,D73030.0</t>
  </si>
  <si>
    <t>GRAMP,315CAL,D73030.0</t>
  </si>
  <si>
    <t>GRAMP,400CAL,D73030.0</t>
  </si>
  <si>
    <t>GRAMP,500CAL,D73030.0</t>
  </si>
  <si>
    <t>SUBEST,MON,CONC ARM,PFU-3</t>
  </si>
  <si>
    <t>REMONTE,LATERAL,SECC GAS</t>
  </si>
  <si>
    <t>SECCIONADORA,GAS,CUB MOD,TERM</t>
  </si>
  <si>
    <t>CABO,TCAA,Z,1000AWG,D21104.0</t>
  </si>
  <si>
    <t>CH17,5KV1600AMOT-TRIP-CENT25KA</t>
  </si>
  <si>
    <t>CH145KV1250A-MOT-LTTRIPCENT10M</t>
  </si>
  <si>
    <t>UNIDADE PERIF,TELECONT,UP2008</t>
  </si>
  <si>
    <t>TC,17,5KV,A10,ESE007</t>
  </si>
  <si>
    <t>SENSOR,TENSÃO,RGDAT,TELECONT</t>
  </si>
  <si>
    <t>GABINETE,UP,EXT,TELECONTROLE</t>
  </si>
  <si>
    <t>CABLE NORM DE CONEX UP-IMS</t>
  </si>
  <si>
    <t>ESTR.CONCRETO.SUP.ISOL138/15KV</t>
  </si>
  <si>
    <t>RETIF,CARREG,BAT,UP2008,TELEC</t>
  </si>
  <si>
    <t>ARRUELA,RED,AL,22X2X11MM,D9040</t>
  </si>
  <si>
    <t>ARRUELA,RED,AL,28X3X14MM,D9040</t>
  </si>
  <si>
    <t>ARRUELA,RED,AL,36X3X18MM,D9040</t>
  </si>
  <si>
    <t>CRUZETA,CONC ARM,1900MM,T,D314</t>
  </si>
  <si>
    <t>CRUZETA,CONC,1900MM,MEIO BECO</t>
  </si>
  <si>
    <t>CRUZETA,CONC,1700MM,BECO,D314</t>
  </si>
  <si>
    <t>SUPORTE,AZ,P/3 SEC FUS UNIP</t>
  </si>
  <si>
    <t>FUSIVEL,NH,224A,12KA,D13401</t>
  </si>
  <si>
    <t>FUSIVEL,NH,315A,19KA,D13401</t>
  </si>
  <si>
    <t>DISJUNT,TERMOM,1P,80A,240V/4.5</t>
  </si>
  <si>
    <t>CB AL PROT XLPE+HDPE 35MM²15KV</t>
  </si>
  <si>
    <t>CB AL PROT XLPE+HDPE 50MM²15KV</t>
  </si>
  <si>
    <t>CB AL PROT XLPE+HDPE185MM²15KV</t>
  </si>
  <si>
    <t>CABO,SP,70MM²,35KV,D21105.0</t>
  </si>
  <si>
    <t>CABO,SP,185MM²,35KV,D21105.0</t>
  </si>
  <si>
    <t>CUB,A4,17KV,3150A,13P,ESE008</t>
  </si>
  <si>
    <t>CUB,A5,17KV,3150A,12P,ESE008</t>
  </si>
  <si>
    <t>CABO,CU,ISOL,SUB,3F,20KV,95MM²</t>
  </si>
  <si>
    <t>CABO,TCAA,Z,426AWG,D21104.0</t>
  </si>
  <si>
    <t>CABO,TCAA,Z,601AWG,D21104.0</t>
  </si>
  <si>
    <t>CABO,TCAA,Z,702AWG,D21104.0</t>
  </si>
  <si>
    <t>CABO,TCAA,477AWG,D21104.0</t>
  </si>
  <si>
    <t>CABO,TCAA,556AWG,D21104.0</t>
  </si>
  <si>
    <t>CABO,TCAA,795AWG,D21104.0</t>
  </si>
  <si>
    <t>CONECTOR,TERM,PINO,1X35-185</t>
  </si>
  <si>
    <t>TC,17,5kV,1200/600-5A,ESE007</t>
  </si>
  <si>
    <t>TRAFO,138kV,50MVA,3F,GST002</t>
  </si>
  <si>
    <t>TRAFO,69kV,20MVA,3F,GST002</t>
  </si>
  <si>
    <t>GRAMPO,SUSP,ART,CAL 315/400MM²</t>
  </si>
  <si>
    <t>GRAMPO,SUSP,ART,CAL 500/630MM²</t>
  </si>
  <si>
    <t>GR,ANC,COMP,426,TCAA,D73036.1</t>
  </si>
  <si>
    <t>GR,ANC,COMP,601,TCAA,D73036.1</t>
  </si>
  <si>
    <t>GR,ANC,COMP,702,TCAA,D73036.1</t>
  </si>
  <si>
    <t>GR,ANC,COMP,795,TCAA,D73036.1</t>
  </si>
  <si>
    <t>GR,ANC,COM,795,TCAA,Z,D73036.1</t>
  </si>
  <si>
    <t>GR,ANC,COM,601,TCAA,Z,D73036.1</t>
  </si>
  <si>
    <t>GR,ANC,COM,702,TCAA,Z,D73036.1</t>
  </si>
  <si>
    <t>GR,AN,COM,1000,TCAA,Z,D73036.1</t>
  </si>
  <si>
    <t>ATR,1F,5KVA,330/127V,SECO,AL,D</t>
  </si>
  <si>
    <t>ATR,3F,15KVA,572/220V,SECO,AL,</t>
  </si>
  <si>
    <t>DISJ,TERM,1P,125A,EBT004</t>
  </si>
  <si>
    <t>GRAMPO,SUSP,ART,CAL 160/200MM²</t>
  </si>
  <si>
    <t>CABO,AL,3F,ISOL,BT,BLIND,D2070</t>
  </si>
  <si>
    <t>TER,PIN,CU,ISOL,2,5MM,D77005.0</t>
  </si>
  <si>
    <t>UP TELECONTROL PARA INSTALACIO</t>
  </si>
  <si>
    <t>TERM 70-185MM2 AL/CU,12/20KV</t>
  </si>
  <si>
    <t>CABO,MT,XLPE,3X35+50,3F,12/20K</t>
  </si>
  <si>
    <t>CABO,MT,XLPE,3X50+50,3F,12/20K</t>
  </si>
  <si>
    <t>CABO,MT,XLPE,3X95+50,3F,12/20K</t>
  </si>
  <si>
    <t>CABO,MT,XLPE,3X150+50,3F,12/20</t>
  </si>
  <si>
    <t>CONEC.TERM.OLHAL ISOL, 4~6MM2,</t>
  </si>
  <si>
    <t>CONEC.TERM. PINO ISOL, 2,5MM2,</t>
  </si>
  <si>
    <t>CABO,MT,AL,XLPE,3X185+50,3F,12</t>
  </si>
  <si>
    <t>TERMI DESC RETO</t>
  </si>
  <si>
    <t>TRAFO,3F,DIST,15kVA,REC,10,8KV</t>
  </si>
  <si>
    <t>TRAFO,3F,DIST,30kVA,REC,10,8KV</t>
  </si>
  <si>
    <t>TRAFO,3F,DIST,45kVA,REC,10.8KV</t>
  </si>
  <si>
    <t>TRAFO,3F,DIST,75kVA,REC,10.8KV</t>
  </si>
  <si>
    <t>TRAFO,3F,DIST,112,5kVA,REC,10.</t>
  </si>
  <si>
    <t>TRAFO,2F,DIST,10kVA,REC,10.8KV</t>
  </si>
  <si>
    <t>TRAFO,2F,DIST,15kVA,REC,10.8KV</t>
  </si>
  <si>
    <t>TRAFO,2F,DIST,25kVA,REC,10.8KV</t>
  </si>
  <si>
    <t>TRAFO,3F,DIST,150kVA,REC,10.8K</t>
  </si>
  <si>
    <t>TRAFO,3F,DIST,225kVA,REC,10.8K</t>
  </si>
  <si>
    <t>TRAFO,3F,DIST,300kVA,REC,10.8K</t>
  </si>
  <si>
    <t>TRAFO,1F,DIST,10kVA,REC,10.8KV</t>
  </si>
  <si>
    <t>TRAFO,1F,DIST,15kVA,REC,10.8KV</t>
  </si>
  <si>
    <t>TRAFO,1F,DIST,25kVA,REC,10.8KV</t>
  </si>
  <si>
    <t>CB AL 3F ISOL BT</t>
  </si>
  <si>
    <t>TERM.MEDIÇÃO TENSÃO/CORRENTE</t>
  </si>
  <si>
    <t>CUBÍCSF6,DISJ 24KV16KA,800/116</t>
  </si>
  <si>
    <t>TC72,5KV,2X600/400/200-1-1A,A1</t>
  </si>
  <si>
    <t>TC,72,5KV,300/200/100-1-1A,A2</t>
  </si>
  <si>
    <t>TC,145KV,2X300/200-1-1A,A3</t>
  </si>
  <si>
    <t>TC,145KV,2X300/200-5-5A,A7</t>
  </si>
  <si>
    <t>CRUZ. CONC LEV C/ FIB</t>
  </si>
  <si>
    <t>TC,145KV,2000/1000-5-5A,A12</t>
  </si>
  <si>
    <t>TC,72,5KV,1800/900-5-5A,A14</t>
  </si>
  <si>
    <t>TC,145KV,2000/1000-5-5A,A16</t>
  </si>
  <si>
    <t>TC145KV,2000/1000-5-5-5-5A,A17</t>
  </si>
  <si>
    <t>TC,145KV,2000/1000-5-5-5A,A18</t>
  </si>
  <si>
    <t>TC,145KV,2000/1000-5-5-5A,A19</t>
  </si>
  <si>
    <t>CRUZ ROL EUC 2,40</t>
  </si>
  <si>
    <t>SUP CH CORT CRU ROL</t>
  </si>
  <si>
    <t>BALANCIM D470.04.0</t>
  </si>
  <si>
    <t>CRUZETA UNIV. P POSTE CIRC.</t>
  </si>
  <si>
    <t>GARFO E OLHAL D470.01.0</t>
  </si>
  <si>
    <t>GARFO DUPLO D470.02.0</t>
  </si>
  <si>
    <t>MANILHA BALAN GARF</t>
  </si>
  <si>
    <t>GRAMPO DE SUSPENSÃO D470.06.0</t>
  </si>
  <si>
    <t>SEC UNI 630A 36KV</t>
  </si>
  <si>
    <t>CABO CONC BIP AL 25MM2 0,6/1KV</t>
  </si>
  <si>
    <t>CABO CONC BIP AL 35MM2 0,6/1KV</t>
  </si>
  <si>
    <t>CABO MT CU HEPR,1X240 12/20KV</t>
  </si>
  <si>
    <t>CB MT AL XLPE 3X240 12/20</t>
  </si>
  <si>
    <t>TERM,EXT,95- 240MM², 18/30KV</t>
  </si>
  <si>
    <t>POSTE,FIBRA,12M,400DAN</t>
  </si>
  <si>
    <t>POSTE,FIBRA,12M,600DAN</t>
  </si>
  <si>
    <t>POSTE,FIBRA,BIPART,12M,400DAN</t>
  </si>
  <si>
    <t>POSTE,FIBRA,BIPART,12M,600DAN</t>
  </si>
  <si>
    <t>POSTE,FIBRA,11M,600DAN</t>
  </si>
  <si>
    <t>POSTE,FIBRA,BIPART,9M,400DAN</t>
  </si>
  <si>
    <t>POSTE,FIBRA,BIPART,9M,600DAN</t>
  </si>
  <si>
    <t>POSTE,FIBRA,BIPART,11M,200DAN</t>
  </si>
  <si>
    <t>POSTE,FIBRA,BIPART,11M,600DAN</t>
  </si>
  <si>
    <t>COLAR,TIPO U,DIÂMETRO 210MM</t>
  </si>
  <si>
    <t>COLAR,TIPO U,DIÂMETRO 280MM</t>
  </si>
  <si>
    <t>SUPORTE,P/ TERM DESCONECTÁVEIS</t>
  </si>
  <si>
    <t>CUBÍCULO,24KV,C/IMS ISOL SF6</t>
  </si>
  <si>
    <t>RELIGADOR,15,5KV,400A,3F,AUT,1</t>
  </si>
  <si>
    <t>TP, 11,4/13,5KV-230V EXT</t>
  </si>
  <si>
    <t>CABO,MT,CU,HEPR</t>
  </si>
  <si>
    <t>POSTE,AÇO,TP B,12M461DAN,BIP</t>
  </si>
  <si>
    <t>POSTE,AÇO,TIPO C12M/671DAN,BIP</t>
  </si>
  <si>
    <t>POSTE,AÇO,TIPO D12M/882DAN,BIP</t>
  </si>
  <si>
    <t>POSTE,AÇO,TIPO E12M/1325DANBIP</t>
  </si>
  <si>
    <t>POSTE,AÇO,TP F12M/1767DAN,BIP</t>
  </si>
  <si>
    <t>POSTE,AÇO,TP G12M/2658DAN,BIP</t>
  </si>
  <si>
    <t>POSTE,AÇO,TP H12M/5012DAN,BIP</t>
  </si>
  <si>
    <t>SUPOR,TRAFO POSTE CIRC.285MM</t>
  </si>
  <si>
    <t>SUPOR,TRAFO POSTE CIRC.330MM</t>
  </si>
  <si>
    <t>TP 15KV 11500-115V USO INT</t>
  </si>
  <si>
    <t>TP 15KV 13800-115V USO INT.</t>
  </si>
  <si>
    <t>PLACA DE APOIO TIPO S1 290MM</t>
  </si>
  <si>
    <t>PLACA DE APOIO TIPO S2 340MM</t>
  </si>
  <si>
    <t>TERM.MED.TENSÃO/CORRENTE</t>
  </si>
  <si>
    <t>TRANSFORMADOR TRI DE 20KVA</t>
  </si>
  <si>
    <t>PARAF.PHILLIPS,4,8X50MM</t>
  </si>
  <si>
    <t>CART. P/ FUSI,MT,25A,TIP.561/4</t>
  </si>
  <si>
    <t>TERMINAL RETRATIL, 95-240MM²</t>
  </si>
  <si>
    <t>CB UNI. P/INTER. TIP.DJ4447/8</t>
  </si>
  <si>
    <t>UNIDADE PERIFÉRICA, UP2008</t>
  </si>
  <si>
    <t>RGDAT-A70, TIPO DY1059-A70/C</t>
  </si>
  <si>
    <t>QUAD. AUX. BT, TIP.DY3016/1</t>
  </si>
  <si>
    <t>CB PRE-REUN,BT,AL,3X25+35MM²</t>
  </si>
  <si>
    <t>CBSUBM12/20KV,CU,EPR,185MM2,3P</t>
  </si>
  <si>
    <t>CB,AL18/30(36)KV,XLPE,185MM3F</t>
  </si>
  <si>
    <t>ISOLADOR,ANTI-SALINIDADE</t>
  </si>
  <si>
    <t>EQUIP,SIMPLES,SUSP E ANCOR</t>
  </si>
  <si>
    <t>PINO,ESTRUTURA DE SUSTENT,MT</t>
  </si>
  <si>
    <t>SUP,ANC,ABERT 122,C R 7000KG</t>
  </si>
  <si>
    <t>SUP,ANC,DUP,AB 110,CR 7000KG</t>
  </si>
  <si>
    <t>GRAM,SUS,CB AAAC,TP DS3162/1</t>
  </si>
  <si>
    <t>GRAM,ANC,PROL,CB AL,DM3176/1</t>
  </si>
  <si>
    <t>SUPORTE DE AÇO,MT,TIPO M12C</t>
  </si>
  <si>
    <t>SUPORTE DE AÇO,MT,TIPO M12L</t>
  </si>
  <si>
    <t>SUPORTE DE AÇO,MT,TIPO M23C</t>
  </si>
  <si>
    <t>SUPORTE DE AÇO,MT,TIPO M23L</t>
  </si>
  <si>
    <t>CINTA U,AZ,SUPORT,MT,D=340MM</t>
  </si>
  <si>
    <t>CONEC DER PRL CB 35MM2/ 35MM2</t>
  </si>
  <si>
    <t>CRUZ ANC ACO CARB 1700X1900MM</t>
  </si>
  <si>
    <t>CRUZ ANC ACO CARB 2100X2300MM</t>
  </si>
  <si>
    <t>SUPORTE FIX P/TERM SUB</t>
  </si>
  <si>
    <t>Sup di amarro 21/14</t>
  </si>
  <si>
    <t>Sup di amarro 28/20</t>
  </si>
  <si>
    <t>Sup di amarro 34/26</t>
  </si>
  <si>
    <t>POSTE,CONC,DT,13M,600DAN,B,SUC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</si>
</sst>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8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3"/>
      <color theme="1"/>
      <name val="Calibri"/>
      <family val="2"/>
      <scheme val="minor"/>
    </font>
    <font>
      <sz val="10"/>
      <color indexed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3" fillId="0" borderId="0"/>
  </cellStyleXfs>
  <cellXfs count="90">
    <xf numFmtId="0" fontId="0" fillId="0" borderId="0" xfId="0"/>
    <xf numFmtId="0" fontId="0" fillId="0" borderId="1" xfId="0" applyBorder="1" applyAlignment="1" applyProtection="1">
      <alignment horizontal="right" vertical="center"/>
      <protection locked="0"/>
    </xf>
    <xf numFmtId="0" fontId="0" fillId="0" borderId="1" xfId="0" applyNumberFormat="1" applyBorder="1" applyAlignment="1" applyProtection="1">
      <alignment horizontal="right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0" borderId="1" xfId="0" applyBorder="1"/>
    <xf numFmtId="0" fontId="1" fillId="2" borderId="1" xfId="0" applyFont="1" applyFill="1" applyBorder="1"/>
    <xf numFmtId="0" fontId="7" fillId="2" borderId="1" xfId="0" applyFont="1" applyFill="1" applyBorder="1" applyAlignment="1" applyProtection="1">
      <alignment horizontal="center" vertical="center" wrapText="1"/>
      <protection locked="0" hidden="1"/>
    </xf>
    <xf numFmtId="0" fontId="5" fillId="5" borderId="1" xfId="0" applyFont="1" applyFill="1" applyBorder="1" applyAlignment="1" applyProtection="1">
      <alignment horizontal="center" vertical="center"/>
      <protection locked="0" hidden="1"/>
    </xf>
    <xf numFmtId="0" fontId="5" fillId="5" borderId="1" xfId="0" applyFont="1" applyFill="1" applyBorder="1" applyAlignment="1" applyProtection="1">
      <alignment horizontal="left" vertical="center"/>
      <protection locked="0" hidden="1"/>
    </xf>
    <xf numFmtId="0" fontId="6" fillId="5" borderId="1" xfId="0" applyFont="1" applyFill="1" applyBorder="1" applyAlignment="1" applyProtection="1">
      <alignment horizontal="center" vertical="center"/>
      <protection locked="0" hidden="1"/>
    </xf>
    <xf numFmtId="0" fontId="8" fillId="6" borderId="7" xfId="0" applyFont="1" applyFill="1" applyBorder="1" applyAlignment="1">
      <alignment horizontal="center" vertical="center" wrapText="1"/>
    </xf>
    <xf numFmtId="0" fontId="9" fillId="0" borderId="7" xfId="0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vertical="center"/>
    </xf>
    <xf numFmtId="0" fontId="9" fillId="0" borderId="7" xfId="0" applyFont="1" applyFill="1" applyBorder="1" applyAlignment="1">
      <alignment horizontal="left" vertical="center"/>
    </xf>
    <xf numFmtId="0" fontId="4" fillId="7" borderId="7" xfId="0" applyFont="1" applyFill="1" applyBorder="1" applyAlignment="1" applyProtection="1">
      <alignment vertical="center"/>
      <protection locked="0"/>
    </xf>
    <xf numFmtId="0" fontId="4" fillId="7" borderId="5" xfId="0" applyFont="1" applyFill="1" applyBorder="1" applyAlignment="1" applyProtection="1">
      <alignment horizontal="left" vertical="center"/>
      <protection locked="0"/>
    </xf>
    <xf numFmtId="164" fontId="4" fillId="7" borderId="7" xfId="0" applyNumberFormat="1" applyFont="1" applyFill="1" applyBorder="1" applyAlignment="1" applyProtection="1">
      <alignment vertical="center"/>
      <protection locked="0"/>
    </xf>
    <xf numFmtId="0" fontId="0" fillId="7" borderId="1" xfId="0" applyFill="1" applyBorder="1" applyAlignment="1" applyProtection="1">
      <alignment horizontal="right" vertical="center"/>
      <protection locked="0"/>
    </xf>
    <xf numFmtId="0" fontId="0" fillId="7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0" fontId="0" fillId="0" borderId="9" xfId="0" applyBorder="1" applyProtection="1">
      <protection hidden="1"/>
    </xf>
    <xf numFmtId="0" fontId="0" fillId="0" borderId="10" xfId="0" applyBorder="1" applyProtection="1">
      <protection hidden="1"/>
    </xf>
    <xf numFmtId="0" fontId="0" fillId="0" borderId="11" xfId="0" applyBorder="1" applyProtection="1">
      <protection hidden="1"/>
    </xf>
    <xf numFmtId="0" fontId="0" fillId="0" borderId="0" xfId="0" applyProtection="1">
      <protection hidden="1"/>
    </xf>
    <xf numFmtId="0" fontId="0" fillId="0" borderId="12" xfId="0" applyBorder="1" applyProtection="1">
      <protection hidden="1"/>
    </xf>
    <xf numFmtId="0" fontId="0" fillId="0" borderId="13" xfId="0" applyBorder="1" applyProtection="1">
      <protection hidden="1"/>
    </xf>
    <xf numFmtId="0" fontId="0" fillId="0" borderId="14" xfId="0" applyBorder="1" applyProtection="1">
      <protection hidden="1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0" xfId="0" applyBorder="1" applyProtection="1">
      <protection hidden="1"/>
    </xf>
    <xf numFmtId="0" fontId="0" fillId="0" borderId="12" xfId="0" applyBorder="1" applyAlignment="1" applyProtection="1">
      <alignment vertical="center"/>
      <protection hidden="1"/>
    </xf>
    <xf numFmtId="0" fontId="3" fillId="0" borderId="5" xfId="0" applyFont="1" applyBorder="1" applyAlignment="1" applyProtection="1">
      <alignment horizontal="left" vertical="center"/>
      <protection hidden="1"/>
    </xf>
    <xf numFmtId="0" fontId="3" fillId="0" borderId="7" xfId="0" applyFont="1" applyBorder="1" applyAlignment="1" applyProtection="1">
      <alignment horizontal="left" vertical="center"/>
      <protection hidden="1"/>
    </xf>
    <xf numFmtId="0" fontId="0" fillId="0" borderId="13" xfId="0" applyBorder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3" fillId="0" borderId="7" xfId="0" applyFont="1" applyBorder="1" applyAlignment="1" applyProtection="1">
      <alignment vertical="center"/>
      <protection hidden="1"/>
    </xf>
    <xf numFmtId="0" fontId="0" fillId="0" borderId="12" xfId="0" applyBorder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center" vertical="center" wrapText="1"/>
      <protection hidden="1"/>
    </xf>
    <xf numFmtId="0" fontId="2" fillId="2" borderId="2" xfId="0" applyFont="1" applyFill="1" applyBorder="1" applyAlignment="1" applyProtection="1">
      <alignment horizontal="center" vertical="center" wrapText="1"/>
      <protection hidden="1"/>
    </xf>
    <xf numFmtId="49" fontId="2" fillId="2" borderId="1" xfId="0" applyNumberFormat="1" applyFont="1" applyFill="1" applyBorder="1" applyAlignment="1" applyProtection="1">
      <alignment horizontal="center" vertical="center" wrapText="1"/>
      <protection hidden="1"/>
    </xf>
    <xf numFmtId="49" fontId="2" fillId="3" borderId="1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13" xfId="0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15" xfId="0" applyBorder="1" applyProtection="1">
      <protection locked="0"/>
    </xf>
    <xf numFmtId="0" fontId="0" fillId="0" borderId="0" xfId="0" applyProtection="1">
      <protection locked="0"/>
    </xf>
    <xf numFmtId="0" fontId="5" fillId="7" borderId="1" xfId="0" applyFont="1" applyFill="1" applyBorder="1" applyAlignment="1" applyProtection="1">
      <alignment horizontal="center" vertical="center"/>
      <protection locked="0" hidden="1"/>
    </xf>
    <xf numFmtId="0" fontId="5" fillId="0" borderId="7" xfId="1" applyFont="1" applyFill="1" applyBorder="1" applyAlignment="1">
      <alignment horizontal="left" vertical="center"/>
    </xf>
    <xf numFmtId="0" fontId="0" fillId="0" borderId="7" xfId="0" applyBorder="1"/>
    <xf numFmtId="0" fontId="0" fillId="0" borderId="7" xfId="0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vertical="center"/>
      <protection hidden="1"/>
    </xf>
    <xf numFmtId="0" fontId="0" fillId="0" borderId="1" xfId="0" applyBorder="1" applyAlignment="1" applyProtection="1">
      <alignment horizontal="left" vertical="center"/>
      <protection locked="0"/>
    </xf>
    <xf numFmtId="164" fontId="4" fillId="4" borderId="5" xfId="0" applyNumberFormat="1" applyFont="1" applyFill="1" applyBorder="1" applyAlignment="1" applyProtection="1">
      <alignment horizontal="right" vertical="center"/>
      <protection locked="0"/>
    </xf>
    <xf numFmtId="164" fontId="4" fillId="4" borderId="6" xfId="0" applyNumberFormat="1" applyFont="1" applyFill="1" applyBorder="1" applyAlignment="1" applyProtection="1">
      <alignment horizontal="right" vertical="center"/>
      <protection locked="0"/>
    </xf>
    <xf numFmtId="0" fontId="2" fillId="2" borderId="2" xfId="0" applyFont="1" applyFill="1" applyBorder="1" applyAlignment="1" applyProtection="1">
      <alignment horizontal="center" vertical="center" wrapText="1"/>
      <protection hidden="1"/>
    </xf>
    <xf numFmtId="0" fontId="2" fillId="2" borderId="3" xfId="0" applyFont="1" applyFill="1" applyBorder="1" applyAlignment="1" applyProtection="1">
      <alignment horizontal="center" vertical="center" wrapText="1"/>
      <protection hidden="1"/>
    </xf>
    <xf numFmtId="49" fontId="2" fillId="3" borderId="2" xfId="0" applyNumberFormat="1" applyFont="1" applyFill="1" applyBorder="1" applyAlignment="1" applyProtection="1">
      <alignment horizontal="center" vertical="center" wrapText="1"/>
      <protection hidden="1"/>
    </xf>
    <xf numFmtId="49" fontId="2" fillId="3" borderId="4" xfId="0" applyNumberFormat="1" applyFont="1" applyFill="1" applyBorder="1" applyAlignment="1" applyProtection="1">
      <alignment horizontal="center" vertical="center" wrapText="1"/>
      <protection hidden="1"/>
    </xf>
    <xf numFmtId="49" fontId="2" fillId="3" borderId="3" xfId="0" applyNumberFormat="1" applyFont="1" applyFill="1" applyBorder="1" applyAlignment="1" applyProtection="1">
      <alignment horizontal="center" vertical="center" wrapText="1"/>
      <protection hidden="1"/>
    </xf>
    <xf numFmtId="14" fontId="4" fillId="7" borderId="5" xfId="0" applyNumberFormat="1" applyFont="1" applyFill="1" applyBorder="1" applyAlignment="1" applyProtection="1">
      <alignment horizontal="right" vertical="center"/>
      <protection locked="0"/>
    </xf>
    <xf numFmtId="14" fontId="4" fillId="7" borderId="8" xfId="0" applyNumberFormat="1" applyFont="1" applyFill="1" applyBorder="1" applyAlignment="1" applyProtection="1">
      <alignment horizontal="right" vertical="center"/>
      <protection locked="0"/>
    </xf>
    <xf numFmtId="14" fontId="4" fillId="7" borderId="6" xfId="0" applyNumberFormat="1" applyFont="1" applyFill="1" applyBorder="1" applyAlignment="1" applyProtection="1">
      <alignment horizontal="right" vertical="center"/>
      <protection locked="0"/>
    </xf>
    <xf numFmtId="0" fontId="4" fillId="4" borderId="5" xfId="0" applyFont="1" applyFill="1" applyBorder="1" applyAlignment="1" applyProtection="1">
      <alignment horizontal="left" vertical="center"/>
      <protection hidden="1"/>
    </xf>
    <xf numFmtId="0" fontId="4" fillId="4" borderId="8" xfId="0" applyFont="1" applyFill="1" applyBorder="1" applyAlignment="1" applyProtection="1">
      <alignment horizontal="left" vertical="center"/>
      <protection hidden="1"/>
    </xf>
    <xf numFmtId="0" fontId="4" fillId="4" borderId="6" xfId="0" applyFont="1" applyFill="1" applyBorder="1" applyAlignment="1" applyProtection="1">
      <alignment horizontal="left" vertical="center"/>
      <protection hidden="1"/>
    </xf>
    <xf numFmtId="0" fontId="3" fillId="0" borderId="5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0" fontId="12" fillId="0" borderId="9" xfId="0" applyFont="1" applyBorder="1" applyAlignment="1" applyProtection="1">
      <alignment horizontal="center"/>
      <protection hidden="1"/>
    </xf>
    <xf numFmtId="0" fontId="12" fillId="0" borderId="10" xfId="0" applyFont="1" applyBorder="1" applyAlignment="1" applyProtection="1">
      <alignment horizontal="center"/>
      <protection hidden="1"/>
    </xf>
    <xf numFmtId="0" fontId="12" fillId="0" borderId="11" xfId="0" applyFont="1" applyBorder="1" applyAlignment="1" applyProtection="1">
      <alignment horizontal="center"/>
      <protection hidden="1"/>
    </xf>
    <xf numFmtId="0" fontId="11" fillId="0" borderId="14" xfId="0" applyFont="1" applyBorder="1" applyAlignment="1" applyProtection="1">
      <alignment horizontal="center" vertical="center"/>
      <protection hidden="1"/>
    </xf>
    <xf numFmtId="0" fontId="11" fillId="0" borderId="15" xfId="0" applyFont="1" applyBorder="1" applyAlignment="1" applyProtection="1">
      <alignment horizontal="center" vertical="center"/>
      <protection hidden="1"/>
    </xf>
    <xf numFmtId="0" fontId="11" fillId="0" borderId="16" xfId="0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alignment horizontal="left" vertical="center"/>
      <protection locked="0"/>
    </xf>
    <xf numFmtId="0" fontId="4" fillId="7" borderId="5" xfId="0" applyFont="1" applyFill="1" applyBorder="1" applyAlignment="1" applyProtection="1">
      <alignment horizontal="left" vertical="center"/>
      <protection locked="0"/>
    </xf>
    <xf numFmtId="0" fontId="4" fillId="7" borderId="6" xfId="0" applyFont="1" applyFill="1" applyBorder="1" applyAlignment="1" applyProtection="1">
      <alignment horizontal="left" vertical="center"/>
      <protection locked="0"/>
    </xf>
    <xf numFmtId="0" fontId="4" fillId="7" borderId="8" xfId="0" applyFont="1" applyFill="1" applyBorder="1" applyAlignment="1" applyProtection="1">
      <alignment horizontal="left" vertical="center"/>
      <protection locked="0"/>
    </xf>
    <xf numFmtId="0" fontId="3" fillId="0" borderId="5" xfId="0" applyFont="1" applyFill="1" applyBorder="1" applyAlignment="1" applyProtection="1">
      <alignment horizontal="left" vertical="center"/>
      <protection hidden="1"/>
    </xf>
    <xf numFmtId="0" fontId="3" fillId="0" borderId="6" xfId="0" applyFont="1" applyFill="1" applyBorder="1" applyAlignment="1" applyProtection="1">
      <alignment horizontal="left" vertical="center"/>
      <protection hidden="1"/>
    </xf>
  </cellXfs>
  <cellStyles count="2">
    <cellStyle name="Normal" xfId="0" builtinId="0"/>
    <cellStyle name="Normal 22" xfId="1"/>
  </cellStyles>
  <dxfs count="2">
    <dxf>
      <fill>
        <patternFill>
          <bgColor rgb="FFD9EBCD"/>
        </patternFill>
      </fill>
    </dxf>
    <dxf>
      <fill>
        <patternFill>
          <bgColor rgb="FFD9EBCD"/>
        </patternFill>
      </fill>
    </dxf>
  </dxfs>
  <tableStyles count="0" defaultTableStyle="TableStyleMedium2" defaultPivotStyle="PivotStyleLight16"/>
  <colors>
    <mruColors>
      <color rgb="FFD9EBCD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2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Ficha_Solicitação_Material!$B$7:$J$7</c:f>
              <c:strCache>
                <c:ptCount val="9"/>
                <c:pt idx="0">
                  <c:v>Localidade:</c:v>
                </c:pt>
                <c:pt idx="2">
                  <c:v>COMPEL II - SÃO GONÇALO</c:v>
                </c:pt>
                <c:pt idx="8">
                  <c:v>Data Planejada: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Ficha_Solicitação_Material!$K$7</c:f>
              <c:numCache>
                <c:formatCode>m/d/yyyy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2B78-4A8D-972E-518EC2204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8974895"/>
        <c:axId val="338975727"/>
      </c:barChart>
      <c:catAx>
        <c:axId val="33897489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8975727"/>
        <c:crosses val="autoZero"/>
        <c:auto val="1"/>
        <c:lblAlgn val="ctr"/>
        <c:lblOffset val="100"/>
        <c:noMultiLvlLbl val="0"/>
      </c:catAx>
      <c:valAx>
        <c:axId val="33897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8974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1"/>
  <sheetViews>
    <sheetView zoomScale="95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5316" cy="6005763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1</xdr:row>
      <xdr:rowOff>37571</xdr:rowOff>
    </xdr:from>
    <xdr:to>
      <xdr:col>21</xdr:col>
      <xdr:colOff>465666</xdr:colOff>
      <xdr:row>2</xdr:row>
      <xdr:rowOff>25930</xdr:rowOff>
    </xdr:to>
    <xdr:sp macro="[0]!materialDesp" textlink="">
      <xdr:nvSpPr>
        <xdr:cNvPr id="4" name="Retângulo Arredondado 3"/>
        <xdr:cNvSpPr/>
      </xdr:nvSpPr>
      <xdr:spPr>
        <a:xfrm>
          <a:off x="14033500" y="90488"/>
          <a:ext cx="941916" cy="337609"/>
        </a:xfrm>
        <a:prstGeom prst="roundRect">
          <a:avLst/>
        </a:prstGeom>
        <a:noFill/>
        <a:ln w="9525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Despachado</a:t>
          </a:r>
        </a:p>
      </xdr:txBody>
    </xdr:sp>
    <xdr:clientData fPrintsWithSheet="0"/>
  </xdr:twoCellAnchor>
  <xdr:twoCellAnchor>
    <xdr:from>
      <xdr:col>20</xdr:col>
      <xdr:colOff>152399</xdr:colOff>
      <xdr:row>2</xdr:row>
      <xdr:rowOff>147395</xdr:rowOff>
    </xdr:from>
    <xdr:to>
      <xdr:col>21</xdr:col>
      <xdr:colOff>480482</xdr:colOff>
      <xdr:row>4</xdr:row>
      <xdr:rowOff>74083</xdr:rowOff>
    </xdr:to>
    <xdr:sp macro="[0]!materialNaoDesp" textlink="">
      <xdr:nvSpPr>
        <xdr:cNvPr id="8" name="Retângulo Arredondado 7"/>
        <xdr:cNvSpPr/>
      </xdr:nvSpPr>
      <xdr:spPr>
        <a:xfrm>
          <a:off x="14048316" y="549562"/>
          <a:ext cx="941916" cy="339438"/>
        </a:xfrm>
        <a:prstGeom prst="roundRect">
          <a:avLst/>
        </a:prstGeom>
        <a:noFill/>
        <a:ln w="9525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Não Desp.</a:t>
          </a:r>
        </a:p>
      </xdr:txBody>
    </xdr:sp>
    <xdr:clientData fPrintsWithSheet="0"/>
  </xdr:twoCellAnchor>
  <xdr:twoCellAnchor>
    <xdr:from>
      <xdr:col>21</xdr:col>
      <xdr:colOff>571500</xdr:colOff>
      <xdr:row>1</xdr:row>
      <xdr:rowOff>37432</xdr:rowOff>
    </xdr:from>
    <xdr:to>
      <xdr:col>23</xdr:col>
      <xdr:colOff>285749</xdr:colOff>
      <xdr:row>2</xdr:row>
      <xdr:rowOff>26069</xdr:rowOff>
    </xdr:to>
    <xdr:sp macro="[0]!apagaLinhas" textlink="">
      <xdr:nvSpPr>
        <xdr:cNvPr id="9" name="Retângulo Arredondado 8"/>
        <xdr:cNvSpPr/>
      </xdr:nvSpPr>
      <xdr:spPr>
        <a:xfrm>
          <a:off x="15081250" y="90349"/>
          <a:ext cx="941916" cy="337887"/>
        </a:xfrm>
        <a:prstGeom prst="roundRect">
          <a:avLst/>
        </a:prstGeom>
        <a:noFill/>
        <a:ln w="9525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Apaga Linha</a:t>
          </a:r>
        </a:p>
      </xdr:txBody>
    </xdr:sp>
    <xdr:clientData fPrintsWithSheet="0"/>
  </xdr:twoCellAnchor>
  <xdr:twoCellAnchor>
    <xdr:from>
      <xdr:col>1</xdr:col>
      <xdr:colOff>201083</xdr:colOff>
      <xdr:row>1</xdr:row>
      <xdr:rowOff>10583</xdr:rowOff>
    </xdr:from>
    <xdr:to>
      <xdr:col>3</xdr:col>
      <xdr:colOff>287867</xdr:colOff>
      <xdr:row>2</xdr:row>
      <xdr:rowOff>280458</xdr:rowOff>
    </xdr:to>
    <xdr:sp macro="" textlink="">
      <xdr:nvSpPr>
        <xdr:cNvPr id="6" name="Rectangle 2" descr="LOGOCOMP"/>
        <xdr:cNvSpPr>
          <a:spLocks noChangeArrowheads="1"/>
        </xdr:cNvSpPr>
      </xdr:nvSpPr>
      <xdr:spPr bwMode="auto">
        <a:xfrm>
          <a:off x="254000" y="63500"/>
          <a:ext cx="933450" cy="619125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lanejamento%20SG/Desktop/FluxoObraPadrao4.0%20-%20Copi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cha_Solicitação_Material"/>
      <sheetName val="Codigo_Material"/>
      <sheetName val="Materiais_COMPEL"/>
      <sheetName val="Status"/>
      <sheetName val="Centros_SAP"/>
    </sheetNames>
    <sheetDataSet>
      <sheetData sheetId="0"/>
      <sheetData sheetId="1"/>
      <sheetData sheetId="2"/>
      <sheetData sheetId="3">
        <row r="2">
          <cell r="A2" t="str">
            <v>OK - Material Disponível</v>
          </cell>
        </row>
        <row r="3">
          <cell r="A3" t="str">
            <v>NOK - Material Sem Saldo Físico</v>
          </cell>
        </row>
        <row r="4">
          <cell r="A4" t="str">
            <v>NOK - Atendido Parcial - Material Sem Saldo Físico</v>
          </cell>
        </row>
        <row r="5">
          <cell r="A5" t="str">
            <v>NOK - Atendido Parcial - Qtde do Pedido SAP não Atende</v>
          </cell>
        </row>
        <row r="6">
          <cell r="A6" t="str">
            <v>NOK - Pedido SAP não Informado</v>
          </cell>
        </row>
        <row r="7">
          <cell r="A7" t="str">
            <v>NOK - Pedido SAP criado para outro Centro</v>
          </cell>
        </row>
        <row r="8">
          <cell r="A8" t="str">
            <v>NOK - Material Indisponível no Pedido SAP</v>
          </cell>
        </row>
        <row r="9">
          <cell r="A9" t="str">
            <v>NOK - Material Segregado para Outro Processo</v>
          </cell>
        </row>
        <row r="10">
          <cell r="A10" t="str">
            <v>NOK - Material Não Estocável no Centro</v>
          </cell>
        </row>
        <row r="11">
          <cell r="A11" t="str">
            <v>NOK - Material Não Estocável no Centro - IMPUTADO</v>
          </cell>
        </row>
        <row r="12">
          <cell r="A12" t="str">
            <v>NOK - Pedido SAP Apresentou Orçamento Excedido</v>
          </cell>
        </row>
        <row r="13">
          <cell r="A13" t="str">
            <v>NOK - Pedido SAP Apresentou Erro na Baixa</v>
          </cell>
        </row>
        <row r="14">
          <cell r="A14" t="str">
            <v>NOK - Outros</v>
          </cell>
        </row>
      </sheetData>
      <sheetData sheetId="4">
        <row r="2">
          <cell r="B2" t="str">
            <v>K0B0</v>
          </cell>
        </row>
        <row r="3">
          <cell r="B3" t="str">
            <v>K1B4</v>
          </cell>
        </row>
        <row r="4">
          <cell r="B4" t="str">
            <v>K0B1</v>
          </cell>
        </row>
        <row r="5">
          <cell r="B5" t="str">
            <v>K0B2</v>
          </cell>
        </row>
        <row r="6">
          <cell r="B6" t="str">
            <v>K0B3</v>
          </cell>
        </row>
        <row r="7">
          <cell r="B7" t="str">
            <v>K0B4</v>
          </cell>
        </row>
        <row r="8">
          <cell r="B8" t="str">
            <v>K0B5</v>
          </cell>
        </row>
        <row r="9">
          <cell r="B9" t="str">
            <v>K0B7</v>
          </cell>
        </row>
        <row r="10">
          <cell r="B10" t="str">
            <v>K1B1</v>
          </cell>
        </row>
        <row r="11">
          <cell r="B11" t="str">
            <v>K1B2</v>
          </cell>
        </row>
        <row r="12">
          <cell r="B12" t="str">
            <v>K1B3</v>
          </cell>
        </row>
        <row r="13">
          <cell r="B13" t="str">
            <v>K1B5</v>
          </cell>
        </row>
        <row r="14">
          <cell r="B14" t="str">
            <v>K1B6</v>
          </cell>
        </row>
        <row r="15">
          <cell r="B15" t="str">
            <v>K1B7</v>
          </cell>
        </row>
        <row r="16">
          <cell r="B16" t="str">
            <v>K1B8</v>
          </cell>
        </row>
        <row r="17">
          <cell r="B17" t="str">
            <v>K1B9</v>
          </cell>
        </row>
        <row r="18">
          <cell r="B18" t="str">
            <v>K2B0</v>
          </cell>
        </row>
        <row r="19">
          <cell r="B19" t="str">
            <v>K2B1</v>
          </cell>
        </row>
        <row r="20">
          <cell r="B20" t="str">
            <v>K2B2</v>
          </cell>
        </row>
        <row r="21">
          <cell r="B21" t="str">
            <v>K2B3</v>
          </cell>
        </row>
        <row r="22">
          <cell r="B22" t="str">
            <v>K3B0</v>
          </cell>
        </row>
        <row r="23">
          <cell r="B23" t="str">
            <v>K3B1</v>
          </cell>
        </row>
        <row r="24">
          <cell r="B24" t="str">
            <v>K3B2</v>
          </cell>
        </row>
        <row r="25">
          <cell r="B25" t="str">
            <v>K3B3</v>
          </cell>
        </row>
        <row r="26">
          <cell r="B26" t="str">
            <v>K3B4</v>
          </cell>
        </row>
        <row r="27">
          <cell r="B27" t="str">
            <v>K3B5</v>
          </cell>
        </row>
        <row r="28">
          <cell r="B28" t="str">
            <v>K3B6</v>
          </cell>
        </row>
        <row r="29">
          <cell r="B29" t="str">
            <v>K3B7</v>
          </cell>
        </row>
        <row r="30">
          <cell r="B30" t="str">
            <v>K3B8</v>
          </cell>
        </row>
        <row r="31">
          <cell r="B31" t="str">
            <v>K3B9</v>
          </cell>
        </row>
        <row r="32">
          <cell r="B32" t="str">
            <v>K4B0</v>
          </cell>
        </row>
        <row r="33">
          <cell r="B33" t="str">
            <v>K4B3</v>
          </cell>
        </row>
        <row r="34">
          <cell r="B34" t="str">
            <v>K4B4</v>
          </cell>
        </row>
        <row r="35">
          <cell r="B35" t="str">
            <v>K4B5</v>
          </cell>
        </row>
        <row r="36">
          <cell r="B36" t="str">
            <v>K4B6</v>
          </cell>
        </row>
        <row r="37">
          <cell r="B37" t="str">
            <v>K4B7</v>
          </cell>
        </row>
        <row r="38">
          <cell r="B38" t="str">
            <v>K4B8</v>
          </cell>
        </row>
        <row r="39">
          <cell r="B39" t="str">
            <v>K4B9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T501"/>
  <sheetViews>
    <sheetView showGridLines="0" tabSelected="1" zoomScale="90" zoomScaleNormal="90" workbookViewId="0">
      <pane ySplit="9" topLeftCell="A10" activePane="bottomLeft" state="frozen"/>
      <selection pane="bottomLeft" activeCell="I19" sqref="I19:J19"/>
    </sheetView>
  </sheetViews>
  <sheetFormatPr defaultRowHeight="15" x14ac:dyDescent="0.25"/>
  <cols>
    <col min="1" max="1" width="0.85546875" style="26" customWidth="1"/>
    <col min="2" max="2" width="7.28515625" style="26" customWidth="1"/>
    <col min="3" max="3" width="5.42578125" style="26" customWidth="1"/>
    <col min="4" max="4" width="6.5703125" style="26" customWidth="1"/>
    <col min="5" max="5" width="13.28515625" style="26" bestFit="1" customWidth="1"/>
    <col min="6" max="6" width="12.5703125" style="26" bestFit="1" customWidth="1"/>
    <col min="7" max="7" width="11.5703125" style="26" bestFit="1" customWidth="1"/>
    <col min="8" max="8" width="8.85546875" style="48" bestFit="1" customWidth="1"/>
    <col min="9" max="9" width="11.7109375" style="26" customWidth="1"/>
    <col min="10" max="10" width="21.28515625" style="26" customWidth="1"/>
    <col min="11" max="11" width="5.5703125" style="26" bestFit="1" customWidth="1"/>
    <col min="12" max="12" width="6.7109375" style="48" bestFit="1" customWidth="1"/>
    <col min="13" max="13" width="12.140625" style="48" bestFit="1" customWidth="1"/>
    <col min="14" max="14" width="10.42578125" style="48" bestFit="1" customWidth="1"/>
    <col min="15" max="15" width="9.140625" style="48"/>
    <col min="16" max="16" width="18.42578125" style="48" customWidth="1"/>
    <col min="17" max="17" width="20.7109375" style="48" bestFit="1" customWidth="1"/>
    <col min="18" max="18" width="11.28515625" style="48" customWidth="1"/>
    <col min="19" max="19" width="18.42578125" style="48" customWidth="1"/>
    <col min="20" max="20" width="0.85546875" style="26" customWidth="1"/>
    <col min="21" max="16384" width="9.140625" style="26"/>
  </cols>
  <sheetData>
    <row r="1" spans="1:20" ht="4.5" customHeight="1" x14ac:dyDescent="0.25">
      <c r="A1" s="23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5"/>
    </row>
    <row r="2" spans="1:20" ht="27.75" customHeight="1" x14ac:dyDescent="0.45">
      <c r="A2" s="27"/>
      <c r="B2" s="23"/>
      <c r="C2" s="24"/>
      <c r="D2" s="25"/>
      <c r="E2" s="74" t="s">
        <v>174</v>
      </c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6"/>
      <c r="T2" s="28"/>
    </row>
    <row r="3" spans="1:20" ht="23.25" customHeight="1" x14ac:dyDescent="0.25">
      <c r="A3" s="27"/>
      <c r="B3" s="29"/>
      <c r="C3" s="30"/>
      <c r="D3" s="31"/>
      <c r="E3" s="77" t="s">
        <v>212</v>
      </c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9"/>
      <c r="T3" s="28"/>
    </row>
    <row r="4" spans="1:20" ht="9" customHeight="1" x14ac:dyDescent="0.25">
      <c r="A4" s="27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28"/>
    </row>
    <row r="5" spans="1:20" s="37" customFormat="1" ht="18.75" customHeight="1" x14ac:dyDescent="0.25">
      <c r="A5" s="33"/>
      <c r="B5" s="72" t="s">
        <v>0</v>
      </c>
      <c r="C5" s="73"/>
      <c r="D5" s="16" t="s">
        <v>165</v>
      </c>
      <c r="E5" s="34" t="s">
        <v>2</v>
      </c>
      <c r="F5" s="17" t="s">
        <v>195</v>
      </c>
      <c r="G5" s="35" t="s">
        <v>3</v>
      </c>
      <c r="H5" s="85"/>
      <c r="I5" s="86"/>
      <c r="J5" s="35" t="s">
        <v>4</v>
      </c>
      <c r="K5" s="85" t="s">
        <v>196</v>
      </c>
      <c r="L5" s="87"/>
      <c r="M5" s="87"/>
      <c r="N5" s="86"/>
      <c r="O5" s="88" t="s">
        <v>5</v>
      </c>
      <c r="P5" s="89"/>
      <c r="Q5" s="85"/>
      <c r="R5" s="87"/>
      <c r="S5" s="86"/>
      <c r="T5" s="36"/>
    </row>
    <row r="6" spans="1:20" s="37" customFormat="1" ht="9" customHeight="1" x14ac:dyDescent="0.25">
      <c r="A6" s="33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6"/>
    </row>
    <row r="7" spans="1:20" s="37" customFormat="1" ht="18.95" customHeight="1" x14ac:dyDescent="0.25">
      <c r="A7" s="33"/>
      <c r="B7" s="72" t="s">
        <v>6</v>
      </c>
      <c r="C7" s="73"/>
      <c r="D7" s="69" t="str">
        <f>IF(D5="","",VLOOKUP(D5,Centros_SAP!$B$2:$E$50,4,0))</f>
        <v>COMPEL II - SÃO GONÇALO</v>
      </c>
      <c r="E7" s="70"/>
      <c r="F7" s="70"/>
      <c r="G7" s="70"/>
      <c r="H7" s="70"/>
      <c r="I7" s="71"/>
      <c r="J7" s="39" t="s">
        <v>7</v>
      </c>
      <c r="K7" s="66"/>
      <c r="L7" s="67"/>
      <c r="M7" s="68"/>
      <c r="N7" s="72" t="s">
        <v>8</v>
      </c>
      <c r="O7" s="73"/>
      <c r="P7" s="18"/>
      <c r="Q7" s="39" t="s">
        <v>9</v>
      </c>
      <c r="R7" s="59"/>
      <c r="S7" s="60"/>
      <c r="T7" s="36"/>
    </row>
    <row r="8" spans="1:20" ht="11.1" customHeight="1" x14ac:dyDescent="0.25">
      <c r="A8" s="27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28"/>
    </row>
    <row r="9" spans="1:20" s="46" customFormat="1" ht="30" customHeight="1" x14ac:dyDescent="0.25">
      <c r="A9" s="40"/>
      <c r="B9" s="41" t="s">
        <v>10</v>
      </c>
      <c r="C9" s="61" t="s">
        <v>11</v>
      </c>
      <c r="D9" s="62"/>
      <c r="E9" s="42" t="s">
        <v>12</v>
      </c>
      <c r="F9" s="42" t="s">
        <v>13</v>
      </c>
      <c r="G9" s="42" t="s">
        <v>14</v>
      </c>
      <c r="H9" s="41" t="s">
        <v>15</v>
      </c>
      <c r="I9" s="61" t="s">
        <v>16</v>
      </c>
      <c r="J9" s="62"/>
      <c r="K9" s="43" t="s">
        <v>17</v>
      </c>
      <c r="L9" s="43" t="s">
        <v>18</v>
      </c>
      <c r="M9" s="43" t="s">
        <v>19</v>
      </c>
      <c r="N9" s="44" t="s">
        <v>20</v>
      </c>
      <c r="O9" s="44" t="s">
        <v>21</v>
      </c>
      <c r="P9" s="63" t="s">
        <v>22</v>
      </c>
      <c r="Q9" s="64"/>
      <c r="R9" s="65"/>
      <c r="S9" s="44" t="s">
        <v>23</v>
      </c>
      <c r="T9" s="45"/>
    </row>
    <row r="10" spans="1:20" s="37" customFormat="1" x14ac:dyDescent="0.25">
      <c r="A10" s="33"/>
      <c r="B10" s="21" t="str">
        <f>IF($D$5="","",$D$5)</f>
        <v>K4B6</v>
      </c>
      <c r="C10" s="56" t="str">
        <f>IF($F$5="","",$F$5)</f>
        <v>OBRA</v>
      </c>
      <c r="D10" s="56"/>
      <c r="E10" s="21" t="str">
        <f>IF($H$5="","",$H$5)</f>
        <v/>
      </c>
      <c r="F10" s="22" t="str">
        <f>IF($P$7="","",$P$7)</f>
        <v/>
      </c>
      <c r="G10" s="22" t="str">
        <f>IF($K$7="","",$K$7)</f>
        <v/>
      </c>
      <c r="H10" s="49"/>
      <c r="I10" s="57" t="str">
        <f>IF(H10="","",MID(VLOOKUP(H10,Codigo_Material!$A$2:$C$9999,2,0),1,30))</f>
        <v/>
      </c>
      <c r="J10" s="57"/>
      <c r="K10" s="21" t="str">
        <f>IF(H10="","",MID(VLOOKUP(H10,Codigo_Material!$A$2:$C$6426,3,0),1,25))</f>
        <v/>
      </c>
      <c r="L10" s="19"/>
      <c r="M10" s="20"/>
      <c r="N10" s="1"/>
      <c r="O10" s="2"/>
      <c r="P10" s="58"/>
      <c r="Q10" s="58"/>
      <c r="R10" s="58"/>
      <c r="S10" s="3"/>
      <c r="T10" s="36"/>
    </row>
    <row r="11" spans="1:20" s="37" customFormat="1" x14ac:dyDescent="0.25">
      <c r="A11" s="33"/>
      <c r="B11" s="21" t="str">
        <f t="shared" ref="B11:B74" si="0">IF($D$5="","",$D$5)</f>
        <v>K4B6</v>
      </c>
      <c r="C11" s="56" t="str">
        <f t="shared" ref="C11:C74" si="1">IF($F$5="","",$F$5)</f>
        <v>OBRA</v>
      </c>
      <c r="D11" s="56"/>
      <c r="E11" s="21" t="str">
        <f t="shared" ref="E11:E74" si="2">IF($H$5="","",$H$5)</f>
        <v/>
      </c>
      <c r="F11" s="22" t="str">
        <f t="shared" ref="F11:F74" si="3">IF($P$7="","",$P$7)</f>
        <v/>
      </c>
      <c r="G11" s="22" t="str">
        <f t="shared" ref="G11:G74" si="4">IF($K$7="","",$K$7)</f>
        <v/>
      </c>
      <c r="H11" s="49"/>
      <c r="I11" s="57" t="str">
        <f>IF(H11="","",MID(VLOOKUP(H11,Codigo_Material!$A$2:$C$9999,2,0),1,30))</f>
        <v/>
      </c>
      <c r="J11" s="57"/>
      <c r="K11" s="21" t="str">
        <f>IF(H11="","",MID(VLOOKUP(H11,Codigo_Material!$A$2:$C$6426,3,0),1,25))</f>
        <v/>
      </c>
      <c r="L11" s="19"/>
      <c r="M11" s="20"/>
      <c r="N11" s="1"/>
      <c r="O11" s="2"/>
      <c r="P11" s="58"/>
      <c r="Q11" s="58"/>
      <c r="R11" s="58"/>
      <c r="S11" s="3"/>
      <c r="T11" s="36"/>
    </row>
    <row r="12" spans="1:20" s="37" customFormat="1" x14ac:dyDescent="0.25">
      <c r="A12" s="33"/>
      <c r="B12" s="21" t="str">
        <f t="shared" si="0"/>
        <v>K4B6</v>
      </c>
      <c r="C12" s="80" t="str">
        <f t="shared" si="1"/>
        <v>OBRA</v>
      </c>
      <c r="D12" s="81"/>
      <c r="E12" s="21" t="str">
        <f t="shared" si="2"/>
        <v/>
      </c>
      <c r="F12" s="22" t="str">
        <f t="shared" si="3"/>
        <v/>
      </c>
      <c r="G12" s="22" t="str">
        <f t="shared" si="4"/>
        <v/>
      </c>
      <c r="H12" s="49"/>
      <c r="I12" s="57" t="str">
        <f>IF(H12="","",MID(VLOOKUP(H12,Codigo_Material!$A$2:$C$9999,2,0),1,30))</f>
        <v/>
      </c>
      <c r="J12" s="57"/>
      <c r="K12" s="21" t="str">
        <f>IF(H12="","",MID(VLOOKUP(H12,Codigo_Material!$A$2:$C$6426,3,0),1,25))</f>
        <v/>
      </c>
      <c r="L12" s="19"/>
      <c r="M12" s="20"/>
      <c r="N12" s="1"/>
      <c r="O12" s="2"/>
      <c r="P12" s="82"/>
      <c r="Q12" s="83"/>
      <c r="R12" s="84"/>
      <c r="S12" s="3"/>
      <c r="T12" s="36"/>
    </row>
    <row r="13" spans="1:20" s="37" customFormat="1" x14ac:dyDescent="0.25">
      <c r="A13" s="33"/>
      <c r="B13" s="21" t="str">
        <f t="shared" si="0"/>
        <v>K4B6</v>
      </c>
      <c r="C13" s="56" t="str">
        <f t="shared" si="1"/>
        <v>OBRA</v>
      </c>
      <c r="D13" s="56"/>
      <c r="E13" s="21" t="str">
        <f t="shared" si="2"/>
        <v/>
      </c>
      <c r="F13" s="22" t="str">
        <f t="shared" si="3"/>
        <v/>
      </c>
      <c r="G13" s="22" t="str">
        <f t="shared" si="4"/>
        <v/>
      </c>
      <c r="H13" s="49"/>
      <c r="I13" s="57" t="str">
        <f>IF(H13="","",MID(VLOOKUP(H13,Codigo_Material!$A$2:$C$9999,2,0),1,30))</f>
        <v/>
      </c>
      <c r="J13" s="57"/>
      <c r="K13" s="21" t="str">
        <f>IF(H13="","",MID(VLOOKUP(H13,Codigo_Material!$A$2:$C$6426,3,0),1,25))</f>
        <v/>
      </c>
      <c r="L13" s="19"/>
      <c r="M13" s="20"/>
      <c r="N13" s="1"/>
      <c r="O13" s="2"/>
      <c r="P13" s="58"/>
      <c r="Q13" s="58"/>
      <c r="R13" s="58"/>
      <c r="S13" s="3"/>
      <c r="T13" s="36"/>
    </row>
    <row r="14" spans="1:20" s="37" customFormat="1" x14ac:dyDescent="0.25">
      <c r="A14" s="33"/>
      <c r="B14" s="21" t="str">
        <f t="shared" si="0"/>
        <v>K4B6</v>
      </c>
      <c r="C14" s="56" t="str">
        <f t="shared" si="1"/>
        <v>OBRA</v>
      </c>
      <c r="D14" s="56"/>
      <c r="E14" s="21" t="str">
        <f t="shared" si="2"/>
        <v/>
      </c>
      <c r="F14" s="22" t="str">
        <f t="shared" si="3"/>
        <v/>
      </c>
      <c r="G14" s="22" t="str">
        <f t="shared" si="4"/>
        <v/>
      </c>
      <c r="H14" s="49"/>
      <c r="I14" s="57" t="str">
        <f>IF(H14="","",MID(VLOOKUP(H14,Codigo_Material!$A$2:$C$9999,2,0),1,30))</f>
        <v/>
      </c>
      <c r="J14" s="57"/>
      <c r="K14" s="21" t="str">
        <f>IF(H14="","",MID(VLOOKUP(H14,Codigo_Material!$A$2:$C$6426,3,0),1,25))</f>
        <v/>
      </c>
      <c r="L14" s="19"/>
      <c r="M14" s="20"/>
      <c r="N14" s="1"/>
      <c r="O14" s="2"/>
      <c r="P14" s="58"/>
      <c r="Q14" s="58"/>
      <c r="R14" s="58"/>
      <c r="S14" s="3"/>
      <c r="T14" s="36"/>
    </row>
    <row r="15" spans="1:20" s="37" customFormat="1" x14ac:dyDescent="0.25">
      <c r="A15" s="33"/>
      <c r="B15" s="21" t="str">
        <f t="shared" si="0"/>
        <v>K4B6</v>
      </c>
      <c r="C15" s="56" t="str">
        <f t="shared" si="1"/>
        <v>OBRA</v>
      </c>
      <c r="D15" s="56"/>
      <c r="E15" s="21" t="str">
        <f t="shared" si="2"/>
        <v/>
      </c>
      <c r="F15" s="22" t="str">
        <f t="shared" si="3"/>
        <v/>
      </c>
      <c r="G15" s="22" t="str">
        <f t="shared" si="4"/>
        <v/>
      </c>
      <c r="H15" s="49"/>
      <c r="I15" s="57" t="str">
        <f>IF(H15="","",MID(VLOOKUP(H15,Codigo_Material!$A$2:$C$9999,2,0),1,30))</f>
        <v/>
      </c>
      <c r="J15" s="57"/>
      <c r="K15" s="21" t="str">
        <f>IF(H15="","",MID(VLOOKUP(H15,Codigo_Material!$A$2:$C$6426,3,0),1,25))</f>
        <v/>
      </c>
      <c r="L15" s="19"/>
      <c r="M15" s="20"/>
      <c r="N15" s="1"/>
      <c r="O15" s="2"/>
      <c r="P15" s="58"/>
      <c r="Q15" s="58"/>
      <c r="R15" s="58"/>
      <c r="S15" s="3"/>
      <c r="T15" s="36"/>
    </row>
    <row r="16" spans="1:20" s="37" customFormat="1" x14ac:dyDescent="0.25">
      <c r="A16" s="33"/>
      <c r="B16" s="21" t="str">
        <f t="shared" si="0"/>
        <v>K4B6</v>
      </c>
      <c r="C16" s="56" t="str">
        <f t="shared" si="1"/>
        <v>OBRA</v>
      </c>
      <c r="D16" s="56"/>
      <c r="E16" s="21" t="str">
        <f t="shared" si="2"/>
        <v/>
      </c>
      <c r="F16" s="22" t="str">
        <f t="shared" si="3"/>
        <v/>
      </c>
      <c r="G16" s="22" t="str">
        <f t="shared" si="4"/>
        <v/>
      </c>
      <c r="H16" s="49"/>
      <c r="I16" s="57" t="str">
        <f>IF(H16="","",MID(VLOOKUP(H16,Codigo_Material!$A$2:$C$9999,2,0),1,30))</f>
        <v/>
      </c>
      <c r="J16" s="57"/>
      <c r="K16" s="21" t="str">
        <f>IF(H16="","",MID(VLOOKUP(H16,Codigo_Material!$A$2:$C$6426,3,0),1,25))</f>
        <v/>
      </c>
      <c r="L16" s="19"/>
      <c r="M16" s="20"/>
      <c r="N16" s="1"/>
      <c r="O16" s="2"/>
      <c r="P16" s="58"/>
      <c r="Q16" s="58"/>
      <c r="R16" s="58"/>
      <c r="S16" s="3"/>
      <c r="T16" s="36"/>
    </row>
    <row r="17" spans="1:20" s="37" customFormat="1" x14ac:dyDescent="0.25">
      <c r="A17" s="33"/>
      <c r="B17" s="21" t="str">
        <f t="shared" si="0"/>
        <v>K4B6</v>
      </c>
      <c r="C17" s="56" t="str">
        <f t="shared" si="1"/>
        <v>OBRA</v>
      </c>
      <c r="D17" s="56"/>
      <c r="E17" s="21" t="str">
        <f t="shared" si="2"/>
        <v/>
      </c>
      <c r="F17" s="22" t="str">
        <f t="shared" si="3"/>
        <v/>
      </c>
      <c r="G17" s="22" t="str">
        <f t="shared" si="4"/>
        <v/>
      </c>
      <c r="H17" s="49"/>
      <c r="I17" s="57" t="str">
        <f>IF(H17="","",MID(VLOOKUP(H17,Codigo_Material!$A$2:$C$9999,2,0),1,30))</f>
        <v/>
      </c>
      <c r="J17" s="57"/>
      <c r="K17" s="21" t="str">
        <f>IF(H17="","",MID(VLOOKUP(H17,Codigo_Material!$A$2:$C$6426,3,0),1,25))</f>
        <v/>
      </c>
      <c r="L17" s="19"/>
      <c r="M17" s="20"/>
      <c r="N17" s="1"/>
      <c r="O17" s="2"/>
      <c r="P17" s="58"/>
      <c r="Q17" s="58"/>
      <c r="R17" s="58"/>
      <c r="S17" s="3"/>
      <c r="T17" s="36"/>
    </row>
    <row r="18" spans="1:20" s="37" customFormat="1" x14ac:dyDescent="0.25">
      <c r="A18" s="33"/>
      <c r="B18" s="21" t="str">
        <f t="shared" si="0"/>
        <v>K4B6</v>
      </c>
      <c r="C18" s="56" t="str">
        <f t="shared" si="1"/>
        <v>OBRA</v>
      </c>
      <c r="D18" s="56"/>
      <c r="E18" s="21" t="str">
        <f t="shared" si="2"/>
        <v/>
      </c>
      <c r="F18" s="22" t="str">
        <f t="shared" si="3"/>
        <v/>
      </c>
      <c r="G18" s="22" t="str">
        <f t="shared" si="4"/>
        <v/>
      </c>
      <c r="H18" s="49"/>
      <c r="I18" s="57" t="str">
        <f>IF(H18="","",MID(VLOOKUP(H18,Codigo_Material!$A$2:$C$9999,2,0),1,30))</f>
        <v/>
      </c>
      <c r="J18" s="57"/>
      <c r="K18" s="21" t="str">
        <f>IF(H18="","",MID(VLOOKUP(H18,Codigo_Material!$A$2:$C$6426,3,0),1,25))</f>
        <v/>
      </c>
      <c r="L18" s="19"/>
      <c r="M18" s="20"/>
      <c r="N18" s="1"/>
      <c r="O18" s="2"/>
      <c r="P18" s="58"/>
      <c r="Q18" s="58"/>
      <c r="R18" s="58"/>
      <c r="S18" s="3"/>
      <c r="T18" s="36"/>
    </row>
    <row r="19" spans="1:20" s="37" customFormat="1" x14ac:dyDescent="0.25">
      <c r="A19" s="33"/>
      <c r="B19" s="21" t="str">
        <f t="shared" si="0"/>
        <v>K4B6</v>
      </c>
      <c r="C19" s="56" t="str">
        <f t="shared" si="1"/>
        <v>OBRA</v>
      </c>
      <c r="D19" s="56"/>
      <c r="E19" s="21" t="str">
        <f t="shared" si="2"/>
        <v/>
      </c>
      <c r="F19" s="22" t="str">
        <f t="shared" si="3"/>
        <v/>
      </c>
      <c r="G19" s="22" t="str">
        <f t="shared" si="4"/>
        <v/>
      </c>
      <c r="H19" s="49"/>
      <c r="I19" s="57" t="str">
        <f>IF(H19="","",MID(VLOOKUP(H19,Codigo_Material!$A$2:$C$9999,2,0),1,30))</f>
        <v/>
      </c>
      <c r="J19" s="57"/>
      <c r="K19" s="21" t="str">
        <f>IF(H19="","",MID(VLOOKUP(H19,Codigo_Material!$A$2:$C$6426,3,0),1,25))</f>
        <v/>
      </c>
      <c r="L19" s="19"/>
      <c r="M19" s="20"/>
      <c r="N19" s="1"/>
      <c r="O19" s="2"/>
      <c r="P19" s="58"/>
      <c r="Q19" s="58"/>
      <c r="R19" s="58"/>
      <c r="S19" s="3"/>
      <c r="T19" s="36"/>
    </row>
    <row r="20" spans="1:20" s="37" customFormat="1" x14ac:dyDescent="0.25">
      <c r="A20" s="33"/>
      <c r="B20" s="21" t="str">
        <f t="shared" si="0"/>
        <v>K4B6</v>
      </c>
      <c r="C20" s="56" t="str">
        <f t="shared" si="1"/>
        <v>OBRA</v>
      </c>
      <c r="D20" s="56"/>
      <c r="E20" s="21" t="str">
        <f t="shared" si="2"/>
        <v/>
      </c>
      <c r="F20" s="22" t="str">
        <f t="shared" si="3"/>
        <v/>
      </c>
      <c r="G20" s="22" t="str">
        <f t="shared" si="4"/>
        <v/>
      </c>
      <c r="H20" s="49"/>
      <c r="I20" s="57" t="str">
        <f>IF(H20="","",MID(VLOOKUP(H20,Codigo_Material!$A$2:$C$9999,2,0),1,30))</f>
        <v/>
      </c>
      <c r="J20" s="57"/>
      <c r="K20" s="21" t="str">
        <f>IF(H20="","",MID(VLOOKUP(H20,Codigo_Material!$A$2:$C$6426,3,0),1,25))</f>
        <v/>
      </c>
      <c r="L20" s="19"/>
      <c r="M20" s="20"/>
      <c r="N20" s="1"/>
      <c r="O20" s="2"/>
      <c r="P20" s="58"/>
      <c r="Q20" s="58"/>
      <c r="R20" s="58"/>
      <c r="S20" s="3"/>
      <c r="T20" s="36"/>
    </row>
    <row r="21" spans="1:20" s="37" customFormat="1" x14ac:dyDescent="0.25">
      <c r="A21" s="33"/>
      <c r="B21" s="21" t="str">
        <f t="shared" si="0"/>
        <v>K4B6</v>
      </c>
      <c r="C21" s="56" t="str">
        <f t="shared" si="1"/>
        <v>OBRA</v>
      </c>
      <c r="D21" s="56"/>
      <c r="E21" s="21" t="str">
        <f t="shared" si="2"/>
        <v/>
      </c>
      <c r="F21" s="22" t="str">
        <f t="shared" si="3"/>
        <v/>
      </c>
      <c r="G21" s="22" t="str">
        <f t="shared" si="4"/>
        <v/>
      </c>
      <c r="H21" s="49"/>
      <c r="I21" s="57" t="str">
        <f>IF(H21="","",MID(VLOOKUP(H21,Codigo_Material!$A$2:$C$9999,2,0),1,30))</f>
        <v/>
      </c>
      <c r="J21" s="57"/>
      <c r="K21" s="21" t="str">
        <f>IF(H21="","",MID(VLOOKUP(H21,Codigo_Material!$A$2:$C$6426,3,0),1,25))</f>
        <v/>
      </c>
      <c r="L21" s="19"/>
      <c r="M21" s="20"/>
      <c r="N21" s="1"/>
      <c r="O21" s="2"/>
      <c r="P21" s="58"/>
      <c r="Q21" s="58"/>
      <c r="R21" s="58"/>
      <c r="S21" s="3"/>
      <c r="T21" s="36"/>
    </row>
    <row r="22" spans="1:20" s="37" customFormat="1" x14ac:dyDescent="0.25">
      <c r="A22" s="33"/>
      <c r="B22" s="21" t="str">
        <f t="shared" si="0"/>
        <v>K4B6</v>
      </c>
      <c r="C22" s="56" t="str">
        <f t="shared" si="1"/>
        <v>OBRA</v>
      </c>
      <c r="D22" s="56"/>
      <c r="E22" s="21" t="str">
        <f t="shared" si="2"/>
        <v/>
      </c>
      <c r="F22" s="22" t="str">
        <f t="shared" si="3"/>
        <v/>
      </c>
      <c r="G22" s="22" t="str">
        <f t="shared" si="4"/>
        <v/>
      </c>
      <c r="H22" s="49"/>
      <c r="I22" s="57" t="str">
        <f>IF(H22="","",MID(VLOOKUP(H22,Codigo_Material!$A$2:$C$9999,2,0),1,30))</f>
        <v/>
      </c>
      <c r="J22" s="57"/>
      <c r="K22" s="21" t="str">
        <f>IF(H22="","",MID(VLOOKUP(H22,Codigo_Material!$A$2:$C$6426,3,0),1,25))</f>
        <v/>
      </c>
      <c r="L22" s="19"/>
      <c r="M22" s="20"/>
      <c r="N22" s="1"/>
      <c r="O22" s="2"/>
      <c r="P22" s="58"/>
      <c r="Q22" s="58"/>
      <c r="R22" s="58"/>
      <c r="S22" s="3"/>
      <c r="T22" s="36"/>
    </row>
    <row r="23" spans="1:20" s="37" customFormat="1" x14ac:dyDescent="0.25">
      <c r="A23" s="33"/>
      <c r="B23" s="54" t="str">
        <f t="shared" si="0"/>
        <v>K4B6</v>
      </c>
      <c r="C23" s="56" t="str">
        <f t="shared" si="1"/>
        <v>OBRA</v>
      </c>
      <c r="D23" s="56"/>
      <c r="E23" s="54" t="str">
        <f t="shared" si="2"/>
        <v/>
      </c>
      <c r="F23" s="22" t="str">
        <f t="shared" si="3"/>
        <v/>
      </c>
      <c r="G23" s="22" t="str">
        <f t="shared" si="4"/>
        <v/>
      </c>
      <c r="H23" s="49"/>
      <c r="I23" s="57" t="str">
        <f>IF(H23="","",MID(VLOOKUP(H23,Codigo_Material!$A$2:$C$9999,2,0),1,30))</f>
        <v/>
      </c>
      <c r="J23" s="57"/>
      <c r="K23" s="54" t="str">
        <f>IF(H23="","",MID(VLOOKUP(H23,Codigo_Material!$A$2:$C$6426,3,0),1,25))</f>
        <v/>
      </c>
      <c r="L23" s="19"/>
      <c r="M23" s="20"/>
      <c r="N23" s="1"/>
      <c r="O23" s="2"/>
      <c r="P23" s="58"/>
      <c r="Q23" s="58"/>
      <c r="R23" s="58"/>
      <c r="S23" s="55"/>
      <c r="T23" s="36"/>
    </row>
    <row r="24" spans="1:20" s="37" customFormat="1" x14ac:dyDescent="0.25">
      <c r="A24" s="33"/>
      <c r="B24" s="54" t="str">
        <f t="shared" si="0"/>
        <v>K4B6</v>
      </c>
      <c r="C24" s="56" t="str">
        <f t="shared" si="1"/>
        <v>OBRA</v>
      </c>
      <c r="D24" s="56"/>
      <c r="E24" s="54" t="str">
        <f t="shared" si="2"/>
        <v/>
      </c>
      <c r="F24" s="22" t="str">
        <f t="shared" si="3"/>
        <v/>
      </c>
      <c r="G24" s="22" t="str">
        <f t="shared" si="4"/>
        <v/>
      </c>
      <c r="H24" s="49"/>
      <c r="I24" s="57" t="str">
        <f>IF(H24="","",MID(VLOOKUP(H24,Codigo_Material!$A$2:$C$9999,2,0),1,30))</f>
        <v/>
      </c>
      <c r="J24" s="57"/>
      <c r="K24" s="54" t="str">
        <f>IF(H24="","",MID(VLOOKUP(H24,Codigo_Material!$A$2:$C$6426,3,0),1,25))</f>
        <v/>
      </c>
      <c r="L24" s="19"/>
      <c r="M24" s="20"/>
      <c r="N24" s="1"/>
      <c r="O24" s="2"/>
      <c r="P24" s="58"/>
      <c r="Q24" s="58"/>
      <c r="R24" s="58"/>
      <c r="S24" s="55"/>
      <c r="T24" s="36"/>
    </row>
    <row r="25" spans="1:20" s="37" customFormat="1" x14ac:dyDescent="0.25">
      <c r="A25" s="33"/>
      <c r="B25" s="54" t="str">
        <f t="shared" si="0"/>
        <v>K4B6</v>
      </c>
      <c r="C25" s="56" t="str">
        <f t="shared" si="1"/>
        <v>OBRA</v>
      </c>
      <c r="D25" s="56"/>
      <c r="E25" s="54" t="str">
        <f t="shared" si="2"/>
        <v/>
      </c>
      <c r="F25" s="22" t="str">
        <f t="shared" si="3"/>
        <v/>
      </c>
      <c r="G25" s="22" t="str">
        <f t="shared" si="4"/>
        <v/>
      </c>
      <c r="H25" s="49"/>
      <c r="I25" s="57" t="str">
        <f>IF(H25="","",MID(VLOOKUP(H25,Codigo_Material!$A$2:$C$9999,2,0),1,30))</f>
        <v/>
      </c>
      <c r="J25" s="57"/>
      <c r="K25" s="54" t="str">
        <f>IF(H25="","",MID(VLOOKUP(H25,Codigo_Material!$A$2:$C$6426,3,0),1,25))</f>
        <v/>
      </c>
      <c r="L25" s="19"/>
      <c r="M25" s="20"/>
      <c r="N25" s="1"/>
      <c r="O25" s="2"/>
      <c r="P25" s="58"/>
      <c r="Q25" s="58"/>
      <c r="R25" s="58"/>
      <c r="S25" s="55"/>
      <c r="T25" s="36"/>
    </row>
    <row r="26" spans="1:20" s="37" customFormat="1" x14ac:dyDescent="0.25">
      <c r="A26" s="33"/>
      <c r="B26" s="54" t="str">
        <f t="shared" si="0"/>
        <v>K4B6</v>
      </c>
      <c r="C26" s="56" t="str">
        <f t="shared" si="1"/>
        <v>OBRA</v>
      </c>
      <c r="D26" s="56"/>
      <c r="E26" s="54" t="str">
        <f t="shared" si="2"/>
        <v/>
      </c>
      <c r="F26" s="22" t="str">
        <f t="shared" si="3"/>
        <v/>
      </c>
      <c r="G26" s="22" t="str">
        <f t="shared" si="4"/>
        <v/>
      </c>
      <c r="H26" s="49"/>
      <c r="I26" s="57" t="str">
        <f>IF(H26="","",MID(VLOOKUP(H26,Codigo_Material!$A$2:$C$9999,2,0),1,30))</f>
        <v/>
      </c>
      <c r="J26" s="57"/>
      <c r="K26" s="54" t="str">
        <f>IF(H26="","",MID(VLOOKUP(H26,Codigo_Material!$A$2:$C$6426,3,0),1,25))</f>
        <v/>
      </c>
      <c r="L26" s="19"/>
      <c r="M26" s="20"/>
      <c r="N26" s="1"/>
      <c r="O26" s="2"/>
      <c r="P26" s="58"/>
      <c r="Q26" s="58"/>
      <c r="R26" s="58"/>
      <c r="S26" s="55"/>
      <c r="T26" s="36"/>
    </row>
    <row r="27" spans="1:20" s="37" customFormat="1" x14ac:dyDescent="0.25">
      <c r="A27" s="33"/>
      <c r="B27" s="54" t="str">
        <f t="shared" si="0"/>
        <v>K4B6</v>
      </c>
      <c r="C27" s="56" t="str">
        <f t="shared" si="1"/>
        <v>OBRA</v>
      </c>
      <c r="D27" s="56"/>
      <c r="E27" s="54" t="str">
        <f t="shared" si="2"/>
        <v/>
      </c>
      <c r="F27" s="22" t="str">
        <f t="shared" si="3"/>
        <v/>
      </c>
      <c r="G27" s="22" t="str">
        <f t="shared" si="4"/>
        <v/>
      </c>
      <c r="H27" s="49"/>
      <c r="I27" s="57" t="str">
        <f>IF(H27="","",MID(VLOOKUP(H27,Codigo_Material!$A$2:$C$9999,2,0),1,30))</f>
        <v/>
      </c>
      <c r="J27" s="57"/>
      <c r="K27" s="54" t="str">
        <f>IF(H27="","",MID(VLOOKUP(H27,Codigo_Material!$A$2:$C$6426,3,0),1,25))</f>
        <v/>
      </c>
      <c r="L27" s="19"/>
      <c r="M27" s="20"/>
      <c r="N27" s="1"/>
      <c r="O27" s="2"/>
      <c r="P27" s="58"/>
      <c r="Q27" s="58"/>
      <c r="R27" s="58"/>
      <c r="S27" s="55"/>
      <c r="T27" s="36"/>
    </row>
    <row r="28" spans="1:20" s="37" customFormat="1" x14ac:dyDescent="0.25">
      <c r="A28" s="33"/>
      <c r="B28" s="54" t="str">
        <f t="shared" si="0"/>
        <v>K4B6</v>
      </c>
      <c r="C28" s="56" t="str">
        <f t="shared" si="1"/>
        <v>OBRA</v>
      </c>
      <c r="D28" s="56"/>
      <c r="E28" s="54" t="str">
        <f t="shared" si="2"/>
        <v/>
      </c>
      <c r="F28" s="22" t="str">
        <f t="shared" si="3"/>
        <v/>
      </c>
      <c r="G28" s="22" t="str">
        <f t="shared" si="4"/>
        <v/>
      </c>
      <c r="H28" s="49"/>
      <c r="I28" s="57" t="str">
        <f>IF(H28="","",MID(VLOOKUP(H28,Codigo_Material!$A$2:$C$9999,2,0),1,30))</f>
        <v/>
      </c>
      <c r="J28" s="57"/>
      <c r="K28" s="54" t="str">
        <f>IF(H28="","",MID(VLOOKUP(H28,Codigo_Material!$A$2:$C$6426,3,0),1,25))</f>
        <v/>
      </c>
      <c r="L28" s="19"/>
      <c r="M28" s="20"/>
      <c r="N28" s="1"/>
      <c r="O28" s="2"/>
      <c r="P28" s="58"/>
      <c r="Q28" s="58"/>
      <c r="R28" s="58"/>
      <c r="S28" s="55"/>
      <c r="T28" s="36"/>
    </row>
    <row r="29" spans="1:20" s="37" customFormat="1" x14ac:dyDescent="0.25">
      <c r="A29" s="33"/>
      <c r="B29" s="54" t="str">
        <f t="shared" si="0"/>
        <v>K4B6</v>
      </c>
      <c r="C29" s="56" t="str">
        <f t="shared" si="1"/>
        <v>OBRA</v>
      </c>
      <c r="D29" s="56"/>
      <c r="E29" s="54" t="str">
        <f t="shared" si="2"/>
        <v/>
      </c>
      <c r="F29" s="22" t="str">
        <f t="shared" si="3"/>
        <v/>
      </c>
      <c r="G29" s="22" t="str">
        <f t="shared" si="4"/>
        <v/>
      </c>
      <c r="H29" s="49"/>
      <c r="I29" s="57" t="str">
        <f>IF(H29="","",MID(VLOOKUP(H29,Codigo_Material!$A$2:$C$9999,2,0),1,30))</f>
        <v/>
      </c>
      <c r="J29" s="57"/>
      <c r="K29" s="54" t="str">
        <f>IF(H29="","",MID(VLOOKUP(H29,Codigo_Material!$A$2:$C$6426,3,0),1,25))</f>
        <v/>
      </c>
      <c r="L29" s="19"/>
      <c r="M29" s="20"/>
      <c r="N29" s="1"/>
      <c r="O29" s="2"/>
      <c r="P29" s="58"/>
      <c r="Q29" s="58"/>
      <c r="R29" s="58"/>
      <c r="S29" s="55"/>
      <c r="T29" s="36"/>
    </row>
    <row r="30" spans="1:20" s="37" customFormat="1" x14ac:dyDescent="0.25">
      <c r="A30" s="33"/>
      <c r="B30" s="54" t="str">
        <f t="shared" si="0"/>
        <v>K4B6</v>
      </c>
      <c r="C30" s="56" t="str">
        <f t="shared" si="1"/>
        <v>OBRA</v>
      </c>
      <c r="D30" s="56"/>
      <c r="E30" s="54" t="str">
        <f t="shared" si="2"/>
        <v/>
      </c>
      <c r="F30" s="22" t="str">
        <f t="shared" si="3"/>
        <v/>
      </c>
      <c r="G30" s="22" t="str">
        <f t="shared" si="4"/>
        <v/>
      </c>
      <c r="H30" s="49"/>
      <c r="I30" s="57" t="str">
        <f>IF(H30="","",MID(VLOOKUP(H30,Codigo_Material!$A$2:$C$9999,2,0),1,30))</f>
        <v/>
      </c>
      <c r="J30" s="57"/>
      <c r="K30" s="54" t="str">
        <f>IF(H30="","",MID(VLOOKUP(H30,Codigo_Material!$A$2:$C$6426,3,0),1,25))</f>
        <v/>
      </c>
      <c r="L30" s="19"/>
      <c r="M30" s="20"/>
      <c r="N30" s="1"/>
      <c r="O30" s="2"/>
      <c r="P30" s="58"/>
      <c r="Q30" s="58"/>
      <c r="R30" s="58"/>
      <c r="S30" s="55"/>
      <c r="T30" s="36"/>
    </row>
    <row r="31" spans="1:20" s="37" customFormat="1" x14ac:dyDescent="0.25">
      <c r="A31" s="33"/>
      <c r="B31" s="54" t="str">
        <f t="shared" si="0"/>
        <v>K4B6</v>
      </c>
      <c r="C31" s="56" t="str">
        <f t="shared" si="1"/>
        <v>OBRA</v>
      </c>
      <c r="D31" s="56"/>
      <c r="E31" s="54" t="str">
        <f t="shared" si="2"/>
        <v/>
      </c>
      <c r="F31" s="22" t="str">
        <f t="shared" si="3"/>
        <v/>
      </c>
      <c r="G31" s="22" t="str">
        <f t="shared" si="4"/>
        <v/>
      </c>
      <c r="H31" s="49"/>
      <c r="I31" s="57" t="str">
        <f>IF(H31="","",MID(VLOOKUP(H31,Codigo_Material!$A$2:$C$9999,2,0),1,30))</f>
        <v/>
      </c>
      <c r="J31" s="57"/>
      <c r="K31" s="54" t="str">
        <f>IF(H31="","",MID(VLOOKUP(H31,Codigo_Material!$A$2:$C$6426,3,0),1,25))</f>
        <v/>
      </c>
      <c r="L31" s="19"/>
      <c r="M31" s="20"/>
      <c r="N31" s="1"/>
      <c r="O31" s="2"/>
      <c r="P31" s="58"/>
      <c r="Q31" s="58"/>
      <c r="R31" s="58"/>
      <c r="S31" s="55"/>
      <c r="T31" s="36"/>
    </row>
    <row r="32" spans="1:20" s="37" customFormat="1" x14ac:dyDescent="0.25">
      <c r="A32" s="33"/>
      <c r="B32" s="54" t="str">
        <f t="shared" si="0"/>
        <v>K4B6</v>
      </c>
      <c r="C32" s="56" t="str">
        <f t="shared" si="1"/>
        <v>OBRA</v>
      </c>
      <c r="D32" s="56"/>
      <c r="E32" s="54" t="str">
        <f t="shared" si="2"/>
        <v/>
      </c>
      <c r="F32" s="22" t="str">
        <f t="shared" si="3"/>
        <v/>
      </c>
      <c r="G32" s="22" t="str">
        <f t="shared" si="4"/>
        <v/>
      </c>
      <c r="H32" s="49"/>
      <c r="I32" s="57" t="str">
        <f>IF(H32="","",MID(VLOOKUP(H32,Codigo_Material!$A$2:$C$9999,2,0),1,30))</f>
        <v/>
      </c>
      <c r="J32" s="57"/>
      <c r="K32" s="54" t="str">
        <f>IF(H32="","",MID(VLOOKUP(H32,Codigo_Material!$A$2:$C$6426,3,0),1,25))</f>
        <v/>
      </c>
      <c r="L32" s="19"/>
      <c r="M32" s="20"/>
      <c r="N32" s="1"/>
      <c r="O32" s="2"/>
      <c r="P32" s="58"/>
      <c r="Q32" s="58"/>
      <c r="R32" s="58"/>
      <c r="S32" s="55"/>
      <c r="T32" s="36"/>
    </row>
    <row r="33" spans="1:20" s="37" customFormat="1" x14ac:dyDescent="0.25">
      <c r="A33" s="33"/>
      <c r="B33" s="54" t="str">
        <f t="shared" si="0"/>
        <v>K4B6</v>
      </c>
      <c r="C33" s="56" t="str">
        <f t="shared" si="1"/>
        <v>OBRA</v>
      </c>
      <c r="D33" s="56"/>
      <c r="E33" s="54" t="str">
        <f t="shared" si="2"/>
        <v/>
      </c>
      <c r="F33" s="22" t="str">
        <f t="shared" si="3"/>
        <v/>
      </c>
      <c r="G33" s="22" t="str">
        <f t="shared" si="4"/>
        <v/>
      </c>
      <c r="H33" s="49"/>
      <c r="I33" s="57" t="str">
        <f>IF(H33="","",MID(VLOOKUP(H33,Codigo_Material!$A$2:$C$9999,2,0),1,30))</f>
        <v/>
      </c>
      <c r="J33" s="57"/>
      <c r="K33" s="54" t="str">
        <f>IF(H33="","",MID(VLOOKUP(H33,Codigo_Material!$A$2:$C$6426,3,0),1,25))</f>
        <v/>
      </c>
      <c r="L33" s="19"/>
      <c r="M33" s="20"/>
      <c r="N33" s="1"/>
      <c r="O33" s="2"/>
      <c r="P33" s="58"/>
      <c r="Q33" s="58"/>
      <c r="R33" s="58"/>
      <c r="S33" s="55"/>
      <c r="T33" s="36"/>
    </row>
    <row r="34" spans="1:20" s="37" customFormat="1" x14ac:dyDescent="0.25">
      <c r="A34" s="33"/>
      <c r="B34" s="54" t="str">
        <f t="shared" si="0"/>
        <v>K4B6</v>
      </c>
      <c r="C34" s="56" t="str">
        <f t="shared" si="1"/>
        <v>OBRA</v>
      </c>
      <c r="D34" s="56"/>
      <c r="E34" s="54" t="str">
        <f t="shared" si="2"/>
        <v/>
      </c>
      <c r="F34" s="22" t="str">
        <f t="shared" si="3"/>
        <v/>
      </c>
      <c r="G34" s="22" t="str">
        <f t="shared" si="4"/>
        <v/>
      </c>
      <c r="H34" s="49"/>
      <c r="I34" s="57" t="str">
        <f>IF(H34="","",MID(VLOOKUP(H34,Codigo_Material!$A$2:$C$9999,2,0),1,30))</f>
        <v/>
      </c>
      <c r="J34" s="57"/>
      <c r="K34" s="54" t="str">
        <f>IF(H34="","",MID(VLOOKUP(H34,Codigo_Material!$A$2:$C$6426,3,0),1,25))</f>
        <v/>
      </c>
      <c r="L34" s="19"/>
      <c r="M34" s="20"/>
      <c r="N34" s="1"/>
      <c r="O34" s="2"/>
      <c r="P34" s="58"/>
      <c r="Q34" s="58"/>
      <c r="R34" s="58"/>
      <c r="S34" s="55"/>
      <c r="T34" s="36"/>
    </row>
    <row r="35" spans="1:20" s="37" customFormat="1" x14ac:dyDescent="0.25">
      <c r="A35" s="33"/>
      <c r="B35" s="54" t="str">
        <f t="shared" si="0"/>
        <v>K4B6</v>
      </c>
      <c r="C35" s="56" t="str">
        <f t="shared" si="1"/>
        <v>OBRA</v>
      </c>
      <c r="D35" s="56"/>
      <c r="E35" s="54" t="str">
        <f t="shared" si="2"/>
        <v/>
      </c>
      <c r="F35" s="22" t="str">
        <f t="shared" si="3"/>
        <v/>
      </c>
      <c r="G35" s="22" t="str">
        <f t="shared" si="4"/>
        <v/>
      </c>
      <c r="H35" s="49"/>
      <c r="I35" s="57" t="str">
        <f>IF(H35="","",MID(VLOOKUP(H35,Codigo_Material!$A$2:$C$9999,2,0),1,30))</f>
        <v/>
      </c>
      <c r="J35" s="57"/>
      <c r="K35" s="54" t="str">
        <f>IF(H35="","",MID(VLOOKUP(H35,Codigo_Material!$A$2:$C$6426,3,0),1,25))</f>
        <v/>
      </c>
      <c r="L35" s="19"/>
      <c r="M35" s="20"/>
      <c r="N35" s="1"/>
      <c r="O35" s="2"/>
      <c r="P35" s="58"/>
      <c r="Q35" s="58"/>
      <c r="R35" s="58"/>
      <c r="S35" s="55"/>
      <c r="T35" s="36"/>
    </row>
    <row r="36" spans="1:20" s="37" customFormat="1" x14ac:dyDescent="0.25">
      <c r="A36" s="33"/>
      <c r="B36" s="54" t="str">
        <f t="shared" si="0"/>
        <v>K4B6</v>
      </c>
      <c r="C36" s="56" t="str">
        <f t="shared" si="1"/>
        <v>OBRA</v>
      </c>
      <c r="D36" s="56"/>
      <c r="E36" s="54" t="str">
        <f t="shared" si="2"/>
        <v/>
      </c>
      <c r="F36" s="22" t="str">
        <f t="shared" si="3"/>
        <v/>
      </c>
      <c r="G36" s="22" t="str">
        <f t="shared" si="4"/>
        <v/>
      </c>
      <c r="H36" s="49"/>
      <c r="I36" s="57" t="str">
        <f>IF(H36="","",MID(VLOOKUP(H36,Codigo_Material!$A$2:$C$9999,2,0),1,30))</f>
        <v/>
      </c>
      <c r="J36" s="57"/>
      <c r="K36" s="54" t="str">
        <f>IF(H36="","",MID(VLOOKUP(H36,Codigo_Material!$A$2:$C$6426,3,0),1,25))</f>
        <v/>
      </c>
      <c r="L36" s="19"/>
      <c r="M36" s="20"/>
      <c r="N36" s="1"/>
      <c r="O36" s="2"/>
      <c r="P36" s="58"/>
      <c r="Q36" s="58"/>
      <c r="R36" s="58"/>
      <c r="S36" s="55"/>
      <c r="T36" s="36"/>
    </row>
    <row r="37" spans="1:20" s="37" customFormat="1" x14ac:dyDescent="0.25">
      <c r="A37" s="33"/>
      <c r="B37" s="54" t="str">
        <f t="shared" si="0"/>
        <v>K4B6</v>
      </c>
      <c r="C37" s="56" t="str">
        <f t="shared" si="1"/>
        <v>OBRA</v>
      </c>
      <c r="D37" s="56"/>
      <c r="E37" s="54" t="str">
        <f t="shared" si="2"/>
        <v/>
      </c>
      <c r="F37" s="22" t="str">
        <f t="shared" si="3"/>
        <v/>
      </c>
      <c r="G37" s="22" t="str">
        <f t="shared" si="4"/>
        <v/>
      </c>
      <c r="H37" s="49"/>
      <c r="I37" s="57" t="str">
        <f>IF(H37="","",MID(VLOOKUP(H37,Codigo_Material!$A$2:$C$9999,2,0),1,30))</f>
        <v/>
      </c>
      <c r="J37" s="57"/>
      <c r="K37" s="54" t="str">
        <f>IF(H37="","",MID(VLOOKUP(H37,Codigo_Material!$A$2:$C$6426,3,0),1,25))</f>
        <v/>
      </c>
      <c r="L37" s="19"/>
      <c r="M37" s="20"/>
      <c r="N37" s="1"/>
      <c r="O37" s="2"/>
      <c r="P37" s="58"/>
      <c r="Q37" s="58"/>
      <c r="R37" s="58"/>
      <c r="S37" s="55"/>
      <c r="T37" s="36"/>
    </row>
    <row r="38" spans="1:20" s="37" customFormat="1" x14ac:dyDescent="0.25">
      <c r="A38" s="33"/>
      <c r="B38" s="54" t="str">
        <f t="shared" si="0"/>
        <v>K4B6</v>
      </c>
      <c r="C38" s="56" t="str">
        <f t="shared" si="1"/>
        <v>OBRA</v>
      </c>
      <c r="D38" s="56"/>
      <c r="E38" s="54" t="str">
        <f t="shared" si="2"/>
        <v/>
      </c>
      <c r="F38" s="22" t="str">
        <f t="shared" si="3"/>
        <v/>
      </c>
      <c r="G38" s="22" t="str">
        <f t="shared" si="4"/>
        <v/>
      </c>
      <c r="H38" s="49"/>
      <c r="I38" s="57" t="str">
        <f>IF(H38="","",MID(VLOOKUP(H38,Codigo_Material!$A$2:$C$9999,2,0),1,30))</f>
        <v/>
      </c>
      <c r="J38" s="57"/>
      <c r="K38" s="54" t="str">
        <f>IF(H38="","",MID(VLOOKUP(H38,Codigo_Material!$A$2:$C$6426,3,0),1,25))</f>
        <v/>
      </c>
      <c r="L38" s="19"/>
      <c r="M38" s="20"/>
      <c r="N38" s="1"/>
      <c r="O38" s="2"/>
      <c r="P38" s="58"/>
      <c r="Q38" s="58"/>
      <c r="R38" s="58"/>
      <c r="S38" s="55"/>
      <c r="T38" s="36"/>
    </row>
    <row r="39" spans="1:20" s="37" customFormat="1" x14ac:dyDescent="0.25">
      <c r="A39" s="33"/>
      <c r="B39" s="54" t="str">
        <f t="shared" si="0"/>
        <v>K4B6</v>
      </c>
      <c r="C39" s="56" t="str">
        <f t="shared" si="1"/>
        <v>OBRA</v>
      </c>
      <c r="D39" s="56"/>
      <c r="E39" s="54" t="str">
        <f t="shared" si="2"/>
        <v/>
      </c>
      <c r="F39" s="22" t="str">
        <f t="shared" si="3"/>
        <v/>
      </c>
      <c r="G39" s="22" t="str">
        <f t="shared" si="4"/>
        <v/>
      </c>
      <c r="H39" s="49"/>
      <c r="I39" s="57" t="str">
        <f>IF(H39="","",MID(VLOOKUP(H39,Codigo_Material!$A$2:$C$9999,2,0),1,30))</f>
        <v/>
      </c>
      <c r="J39" s="57"/>
      <c r="K39" s="54" t="str">
        <f>IF(H39="","",MID(VLOOKUP(H39,Codigo_Material!$A$2:$C$6426,3,0),1,25))</f>
        <v/>
      </c>
      <c r="L39" s="19"/>
      <c r="M39" s="20"/>
      <c r="N39" s="1"/>
      <c r="O39" s="2"/>
      <c r="P39" s="58"/>
      <c r="Q39" s="58"/>
      <c r="R39" s="58"/>
      <c r="S39" s="55"/>
      <c r="T39" s="36"/>
    </row>
    <row r="40" spans="1:20" s="37" customFormat="1" x14ac:dyDescent="0.25">
      <c r="A40" s="33"/>
      <c r="B40" s="54" t="str">
        <f t="shared" si="0"/>
        <v>K4B6</v>
      </c>
      <c r="C40" s="56" t="str">
        <f t="shared" si="1"/>
        <v>OBRA</v>
      </c>
      <c r="D40" s="56"/>
      <c r="E40" s="54" t="str">
        <f t="shared" si="2"/>
        <v/>
      </c>
      <c r="F40" s="22" t="str">
        <f t="shared" si="3"/>
        <v/>
      </c>
      <c r="G40" s="22" t="str">
        <f t="shared" si="4"/>
        <v/>
      </c>
      <c r="H40" s="49"/>
      <c r="I40" s="57" t="str">
        <f>IF(H40="","",MID(VLOOKUP(H40,Codigo_Material!$A$2:$C$9999,2,0),1,30))</f>
        <v/>
      </c>
      <c r="J40" s="57"/>
      <c r="K40" s="54" t="str">
        <f>IF(H40="","",MID(VLOOKUP(H40,Codigo_Material!$A$2:$C$6426,3,0),1,25))</f>
        <v/>
      </c>
      <c r="L40" s="19"/>
      <c r="M40" s="20"/>
      <c r="N40" s="1"/>
      <c r="O40" s="2"/>
      <c r="P40" s="58"/>
      <c r="Q40" s="58"/>
      <c r="R40" s="58"/>
      <c r="S40" s="55"/>
      <c r="T40" s="36"/>
    </row>
    <row r="41" spans="1:20" s="37" customFormat="1" x14ac:dyDescent="0.25">
      <c r="A41" s="33"/>
      <c r="B41" s="54" t="str">
        <f t="shared" si="0"/>
        <v>K4B6</v>
      </c>
      <c r="C41" s="56" t="str">
        <f t="shared" si="1"/>
        <v>OBRA</v>
      </c>
      <c r="D41" s="56"/>
      <c r="E41" s="54" t="str">
        <f t="shared" si="2"/>
        <v/>
      </c>
      <c r="F41" s="22" t="str">
        <f t="shared" si="3"/>
        <v/>
      </c>
      <c r="G41" s="22" t="str">
        <f t="shared" si="4"/>
        <v/>
      </c>
      <c r="H41" s="49"/>
      <c r="I41" s="57" t="str">
        <f>IF(H41="","",MID(VLOOKUP(H41,Codigo_Material!$A$2:$C$9999,2,0),1,30))</f>
        <v/>
      </c>
      <c r="J41" s="57"/>
      <c r="K41" s="54" t="str">
        <f>IF(H41="","",MID(VLOOKUP(H41,Codigo_Material!$A$2:$C$6426,3,0),1,25))</f>
        <v/>
      </c>
      <c r="L41" s="19"/>
      <c r="M41" s="20"/>
      <c r="N41" s="1"/>
      <c r="O41" s="2"/>
      <c r="P41" s="58"/>
      <c r="Q41" s="58"/>
      <c r="R41" s="58"/>
      <c r="S41" s="55"/>
      <c r="T41" s="36"/>
    </row>
    <row r="42" spans="1:20" s="37" customFormat="1" x14ac:dyDescent="0.25">
      <c r="A42" s="33"/>
      <c r="B42" s="54" t="str">
        <f t="shared" si="0"/>
        <v>K4B6</v>
      </c>
      <c r="C42" s="56" t="str">
        <f t="shared" si="1"/>
        <v>OBRA</v>
      </c>
      <c r="D42" s="56"/>
      <c r="E42" s="54" t="str">
        <f t="shared" si="2"/>
        <v/>
      </c>
      <c r="F42" s="22" t="str">
        <f t="shared" si="3"/>
        <v/>
      </c>
      <c r="G42" s="22" t="str">
        <f t="shared" si="4"/>
        <v/>
      </c>
      <c r="H42" s="49"/>
      <c r="I42" s="57" t="str">
        <f>IF(H42="","",MID(VLOOKUP(H42,Codigo_Material!$A$2:$C$9999,2,0),1,30))</f>
        <v/>
      </c>
      <c r="J42" s="57"/>
      <c r="K42" s="54" t="str">
        <f>IF(H42="","",MID(VLOOKUP(H42,Codigo_Material!$A$2:$C$6426,3,0),1,25))</f>
        <v/>
      </c>
      <c r="L42" s="19"/>
      <c r="M42" s="20"/>
      <c r="N42" s="1"/>
      <c r="O42" s="2"/>
      <c r="P42" s="58"/>
      <c r="Q42" s="58"/>
      <c r="R42" s="58"/>
      <c r="S42" s="55"/>
      <c r="T42" s="36"/>
    </row>
    <row r="43" spans="1:20" s="37" customFormat="1" x14ac:dyDescent="0.25">
      <c r="A43" s="33"/>
      <c r="B43" s="54" t="str">
        <f t="shared" si="0"/>
        <v>K4B6</v>
      </c>
      <c r="C43" s="56" t="str">
        <f t="shared" si="1"/>
        <v>OBRA</v>
      </c>
      <c r="D43" s="56"/>
      <c r="E43" s="54" t="str">
        <f t="shared" si="2"/>
        <v/>
      </c>
      <c r="F43" s="22" t="str">
        <f t="shared" si="3"/>
        <v/>
      </c>
      <c r="G43" s="22" t="str">
        <f t="shared" si="4"/>
        <v/>
      </c>
      <c r="H43" s="49"/>
      <c r="I43" s="57" t="str">
        <f>IF(H43="","",MID(VLOOKUP(H43,Codigo_Material!$A$2:$C$9999,2,0),1,30))</f>
        <v/>
      </c>
      <c r="J43" s="57"/>
      <c r="K43" s="54" t="str">
        <f>IF(H43="","",MID(VLOOKUP(H43,Codigo_Material!$A$2:$C$6426,3,0),1,25))</f>
        <v/>
      </c>
      <c r="L43" s="19"/>
      <c r="M43" s="20"/>
      <c r="N43" s="1"/>
      <c r="O43" s="2"/>
      <c r="P43" s="58"/>
      <c r="Q43" s="58"/>
      <c r="R43" s="58"/>
      <c r="S43" s="55"/>
      <c r="T43" s="36"/>
    </row>
    <row r="44" spans="1:20" s="37" customFormat="1" x14ac:dyDescent="0.25">
      <c r="A44" s="33"/>
      <c r="B44" s="54" t="str">
        <f t="shared" si="0"/>
        <v>K4B6</v>
      </c>
      <c r="C44" s="56" t="str">
        <f t="shared" si="1"/>
        <v>OBRA</v>
      </c>
      <c r="D44" s="56"/>
      <c r="E44" s="54" t="str">
        <f t="shared" si="2"/>
        <v/>
      </c>
      <c r="F44" s="22" t="str">
        <f t="shared" si="3"/>
        <v/>
      </c>
      <c r="G44" s="22" t="str">
        <f t="shared" si="4"/>
        <v/>
      </c>
      <c r="H44" s="49"/>
      <c r="I44" s="57" t="str">
        <f>IF(H44="","",MID(VLOOKUP(H44,Codigo_Material!$A$2:$C$9999,2,0),1,30))</f>
        <v/>
      </c>
      <c r="J44" s="57"/>
      <c r="K44" s="54" t="str">
        <f>IF(H44="","",MID(VLOOKUP(H44,Codigo_Material!$A$2:$C$6426,3,0),1,25))</f>
        <v/>
      </c>
      <c r="L44" s="19"/>
      <c r="M44" s="20"/>
      <c r="N44" s="1"/>
      <c r="O44" s="2"/>
      <c r="P44" s="58"/>
      <c r="Q44" s="58"/>
      <c r="R44" s="58"/>
      <c r="S44" s="55"/>
      <c r="T44" s="36"/>
    </row>
    <row r="45" spans="1:20" s="37" customFormat="1" x14ac:dyDescent="0.25">
      <c r="A45" s="33"/>
      <c r="B45" s="54" t="str">
        <f t="shared" si="0"/>
        <v>K4B6</v>
      </c>
      <c r="C45" s="56" t="str">
        <f t="shared" si="1"/>
        <v>OBRA</v>
      </c>
      <c r="D45" s="56"/>
      <c r="E45" s="54" t="str">
        <f t="shared" si="2"/>
        <v/>
      </c>
      <c r="F45" s="22" t="str">
        <f t="shared" si="3"/>
        <v/>
      </c>
      <c r="G45" s="22" t="str">
        <f t="shared" si="4"/>
        <v/>
      </c>
      <c r="H45" s="49"/>
      <c r="I45" s="57" t="str">
        <f>IF(H45="","",MID(VLOOKUP(H45,Codigo_Material!$A$2:$C$9999,2,0),1,30))</f>
        <v/>
      </c>
      <c r="J45" s="57"/>
      <c r="K45" s="54" t="str">
        <f>IF(H45="","",MID(VLOOKUP(H45,Codigo_Material!$A$2:$C$6426,3,0),1,25))</f>
        <v/>
      </c>
      <c r="L45" s="19"/>
      <c r="M45" s="20"/>
      <c r="N45" s="1"/>
      <c r="O45" s="2"/>
      <c r="P45" s="58"/>
      <c r="Q45" s="58"/>
      <c r="R45" s="58"/>
      <c r="S45" s="55"/>
      <c r="T45" s="36"/>
    </row>
    <row r="46" spans="1:20" s="37" customFormat="1" x14ac:dyDescent="0.25">
      <c r="A46" s="33"/>
      <c r="B46" s="54" t="str">
        <f t="shared" si="0"/>
        <v>K4B6</v>
      </c>
      <c r="C46" s="56" t="str">
        <f t="shared" si="1"/>
        <v>OBRA</v>
      </c>
      <c r="D46" s="56"/>
      <c r="E46" s="54" t="str">
        <f t="shared" si="2"/>
        <v/>
      </c>
      <c r="F46" s="22" t="str">
        <f t="shared" si="3"/>
        <v/>
      </c>
      <c r="G46" s="22" t="str">
        <f t="shared" si="4"/>
        <v/>
      </c>
      <c r="H46" s="49"/>
      <c r="I46" s="57" t="str">
        <f>IF(H46="","",MID(VLOOKUP(H46,Codigo_Material!$A$2:$C$9999,2,0),1,30))</f>
        <v/>
      </c>
      <c r="J46" s="57"/>
      <c r="K46" s="54" t="str">
        <f>IF(H46="","",MID(VLOOKUP(H46,Codigo_Material!$A$2:$C$6426,3,0),1,25))</f>
        <v/>
      </c>
      <c r="L46" s="19"/>
      <c r="M46" s="20"/>
      <c r="N46" s="1"/>
      <c r="O46" s="2"/>
      <c r="P46" s="58"/>
      <c r="Q46" s="58"/>
      <c r="R46" s="58"/>
      <c r="S46" s="55"/>
      <c r="T46" s="36"/>
    </row>
    <row r="47" spans="1:20" s="37" customFormat="1" x14ac:dyDescent="0.25">
      <c r="A47" s="33"/>
      <c r="B47" s="54" t="str">
        <f t="shared" si="0"/>
        <v>K4B6</v>
      </c>
      <c r="C47" s="56" t="str">
        <f t="shared" si="1"/>
        <v>OBRA</v>
      </c>
      <c r="D47" s="56"/>
      <c r="E47" s="54" t="str">
        <f t="shared" si="2"/>
        <v/>
      </c>
      <c r="F47" s="22" t="str">
        <f t="shared" si="3"/>
        <v/>
      </c>
      <c r="G47" s="22" t="str">
        <f t="shared" si="4"/>
        <v/>
      </c>
      <c r="H47" s="49"/>
      <c r="I47" s="57" t="str">
        <f>IF(H47="","",MID(VLOOKUP(H47,Codigo_Material!$A$2:$C$9999,2,0),1,30))</f>
        <v/>
      </c>
      <c r="J47" s="57"/>
      <c r="K47" s="54" t="str">
        <f>IF(H47="","",MID(VLOOKUP(H47,Codigo_Material!$A$2:$C$6426,3,0),1,25))</f>
        <v/>
      </c>
      <c r="L47" s="19"/>
      <c r="M47" s="20"/>
      <c r="N47" s="1"/>
      <c r="O47" s="2"/>
      <c r="P47" s="58"/>
      <c r="Q47" s="58"/>
      <c r="R47" s="58"/>
      <c r="S47" s="55"/>
      <c r="T47" s="36"/>
    </row>
    <row r="48" spans="1:20" s="37" customFormat="1" x14ac:dyDescent="0.25">
      <c r="A48" s="33"/>
      <c r="B48" s="54" t="str">
        <f t="shared" si="0"/>
        <v>K4B6</v>
      </c>
      <c r="C48" s="56" t="str">
        <f t="shared" si="1"/>
        <v>OBRA</v>
      </c>
      <c r="D48" s="56"/>
      <c r="E48" s="54" t="str">
        <f t="shared" si="2"/>
        <v/>
      </c>
      <c r="F48" s="22" t="str">
        <f t="shared" si="3"/>
        <v/>
      </c>
      <c r="G48" s="22" t="str">
        <f t="shared" si="4"/>
        <v/>
      </c>
      <c r="H48" s="49"/>
      <c r="I48" s="57" t="str">
        <f>IF(H48="","",MID(VLOOKUP(H48,Codigo_Material!$A$2:$C$9999,2,0),1,30))</f>
        <v/>
      </c>
      <c r="J48" s="57"/>
      <c r="K48" s="54" t="str">
        <f>IF(H48="","",MID(VLOOKUP(H48,Codigo_Material!$A$2:$C$6426,3,0),1,25))</f>
        <v/>
      </c>
      <c r="L48" s="19"/>
      <c r="M48" s="20"/>
      <c r="N48" s="1"/>
      <c r="O48" s="2"/>
      <c r="P48" s="58"/>
      <c r="Q48" s="58"/>
      <c r="R48" s="58"/>
      <c r="S48" s="55"/>
      <c r="T48" s="36"/>
    </row>
    <row r="49" spans="1:20" s="37" customFormat="1" x14ac:dyDescent="0.25">
      <c r="A49" s="33"/>
      <c r="B49" s="54" t="str">
        <f t="shared" si="0"/>
        <v>K4B6</v>
      </c>
      <c r="C49" s="56" t="str">
        <f t="shared" si="1"/>
        <v>OBRA</v>
      </c>
      <c r="D49" s="56"/>
      <c r="E49" s="54" t="str">
        <f t="shared" si="2"/>
        <v/>
      </c>
      <c r="F49" s="22" t="str">
        <f t="shared" si="3"/>
        <v/>
      </c>
      <c r="G49" s="22" t="str">
        <f t="shared" si="4"/>
        <v/>
      </c>
      <c r="H49" s="49"/>
      <c r="I49" s="57" t="str">
        <f>IF(H49="","",MID(VLOOKUP(H49,Codigo_Material!$A$2:$C$9999,2,0),1,30))</f>
        <v/>
      </c>
      <c r="J49" s="57"/>
      <c r="K49" s="54" t="str">
        <f>IF(H49="","",MID(VLOOKUP(H49,Codigo_Material!$A$2:$C$6426,3,0),1,25))</f>
        <v/>
      </c>
      <c r="L49" s="19"/>
      <c r="M49" s="20"/>
      <c r="N49" s="1"/>
      <c r="O49" s="2"/>
      <c r="P49" s="58"/>
      <c r="Q49" s="58"/>
      <c r="R49" s="58"/>
      <c r="S49" s="55"/>
      <c r="T49" s="36"/>
    </row>
    <row r="50" spans="1:20" s="37" customFormat="1" x14ac:dyDescent="0.25">
      <c r="A50" s="33"/>
      <c r="B50" s="54" t="str">
        <f t="shared" si="0"/>
        <v>K4B6</v>
      </c>
      <c r="C50" s="56" t="str">
        <f t="shared" si="1"/>
        <v>OBRA</v>
      </c>
      <c r="D50" s="56"/>
      <c r="E50" s="54" t="str">
        <f t="shared" si="2"/>
        <v/>
      </c>
      <c r="F50" s="22" t="str">
        <f t="shared" si="3"/>
        <v/>
      </c>
      <c r="G50" s="22" t="str">
        <f t="shared" si="4"/>
        <v/>
      </c>
      <c r="H50" s="49"/>
      <c r="I50" s="57" t="str">
        <f>IF(H50="","",MID(VLOOKUP(H50,Codigo_Material!$A$2:$C$9999,2,0),1,30))</f>
        <v/>
      </c>
      <c r="J50" s="57"/>
      <c r="K50" s="54" t="str">
        <f>IF(H50="","",MID(VLOOKUP(H50,Codigo_Material!$A$2:$C$6426,3,0),1,25))</f>
        <v/>
      </c>
      <c r="L50" s="19"/>
      <c r="M50" s="20"/>
      <c r="N50" s="1"/>
      <c r="O50" s="2"/>
      <c r="P50" s="58"/>
      <c r="Q50" s="58"/>
      <c r="R50" s="58"/>
      <c r="S50" s="55"/>
      <c r="T50" s="36"/>
    </row>
    <row r="51" spans="1:20" s="37" customFormat="1" x14ac:dyDescent="0.25">
      <c r="A51" s="33"/>
      <c r="B51" s="54" t="str">
        <f t="shared" si="0"/>
        <v>K4B6</v>
      </c>
      <c r="C51" s="56" t="str">
        <f t="shared" si="1"/>
        <v>OBRA</v>
      </c>
      <c r="D51" s="56"/>
      <c r="E51" s="54" t="str">
        <f t="shared" si="2"/>
        <v/>
      </c>
      <c r="F51" s="22" t="str">
        <f t="shared" si="3"/>
        <v/>
      </c>
      <c r="G51" s="22" t="str">
        <f t="shared" si="4"/>
        <v/>
      </c>
      <c r="H51" s="49"/>
      <c r="I51" s="57" t="str">
        <f>IF(H51="","",MID(VLOOKUP(H51,Codigo_Material!$A$2:$C$9999,2,0),1,30))</f>
        <v/>
      </c>
      <c r="J51" s="57"/>
      <c r="K51" s="54" t="str">
        <f>IF(H51="","",MID(VLOOKUP(H51,Codigo_Material!$A$2:$C$6426,3,0),1,25))</f>
        <v/>
      </c>
      <c r="L51" s="19"/>
      <c r="M51" s="20"/>
      <c r="N51" s="1"/>
      <c r="O51" s="2"/>
      <c r="P51" s="58"/>
      <c r="Q51" s="58"/>
      <c r="R51" s="58"/>
      <c r="S51" s="55"/>
      <c r="T51" s="36"/>
    </row>
    <row r="52" spans="1:20" s="37" customFormat="1" x14ac:dyDescent="0.25">
      <c r="A52" s="33"/>
      <c r="B52" s="54" t="str">
        <f t="shared" si="0"/>
        <v>K4B6</v>
      </c>
      <c r="C52" s="56" t="str">
        <f t="shared" si="1"/>
        <v>OBRA</v>
      </c>
      <c r="D52" s="56"/>
      <c r="E52" s="54" t="str">
        <f t="shared" si="2"/>
        <v/>
      </c>
      <c r="F52" s="22" t="str">
        <f t="shared" si="3"/>
        <v/>
      </c>
      <c r="G52" s="22" t="str">
        <f t="shared" si="4"/>
        <v/>
      </c>
      <c r="H52" s="49"/>
      <c r="I52" s="57" t="str">
        <f>IF(H52="","",MID(VLOOKUP(H52,Codigo_Material!$A$2:$C$9999,2,0),1,30))</f>
        <v/>
      </c>
      <c r="J52" s="57"/>
      <c r="K52" s="54" t="str">
        <f>IF(H52="","",MID(VLOOKUP(H52,Codigo_Material!$A$2:$C$6426,3,0),1,25))</f>
        <v/>
      </c>
      <c r="L52" s="19"/>
      <c r="M52" s="20"/>
      <c r="N52" s="1"/>
      <c r="O52" s="2"/>
      <c r="P52" s="58"/>
      <c r="Q52" s="58"/>
      <c r="R52" s="58"/>
      <c r="S52" s="55"/>
      <c r="T52" s="36"/>
    </row>
    <row r="53" spans="1:20" s="37" customFormat="1" x14ac:dyDescent="0.25">
      <c r="A53" s="33"/>
      <c r="B53" s="54" t="str">
        <f t="shared" si="0"/>
        <v>K4B6</v>
      </c>
      <c r="C53" s="56" t="str">
        <f t="shared" si="1"/>
        <v>OBRA</v>
      </c>
      <c r="D53" s="56"/>
      <c r="E53" s="54" t="str">
        <f t="shared" si="2"/>
        <v/>
      </c>
      <c r="F53" s="22" t="str">
        <f t="shared" si="3"/>
        <v/>
      </c>
      <c r="G53" s="22" t="str">
        <f t="shared" si="4"/>
        <v/>
      </c>
      <c r="H53" s="49"/>
      <c r="I53" s="57" t="str">
        <f>IF(H53="","",MID(VLOOKUP(H53,Codigo_Material!$A$2:$C$9999,2,0),1,30))</f>
        <v/>
      </c>
      <c r="J53" s="57"/>
      <c r="K53" s="54" t="str">
        <f>IF(H53="","",MID(VLOOKUP(H53,Codigo_Material!$A$2:$C$6426,3,0),1,25))</f>
        <v/>
      </c>
      <c r="L53" s="19"/>
      <c r="M53" s="20"/>
      <c r="N53" s="1"/>
      <c r="O53" s="2"/>
      <c r="P53" s="58"/>
      <c r="Q53" s="58"/>
      <c r="R53" s="58"/>
      <c r="S53" s="55"/>
      <c r="T53" s="36"/>
    </row>
    <row r="54" spans="1:20" s="37" customFormat="1" x14ac:dyDescent="0.25">
      <c r="A54" s="33"/>
      <c r="B54" s="54" t="str">
        <f t="shared" si="0"/>
        <v>K4B6</v>
      </c>
      <c r="C54" s="56" t="str">
        <f t="shared" si="1"/>
        <v>OBRA</v>
      </c>
      <c r="D54" s="56"/>
      <c r="E54" s="54" t="str">
        <f t="shared" si="2"/>
        <v/>
      </c>
      <c r="F54" s="22" t="str">
        <f t="shared" si="3"/>
        <v/>
      </c>
      <c r="G54" s="22" t="str">
        <f t="shared" si="4"/>
        <v/>
      </c>
      <c r="H54" s="49"/>
      <c r="I54" s="57" t="str">
        <f>IF(H54="","",MID(VLOOKUP(H54,Codigo_Material!$A$2:$C$9999,2,0),1,30))</f>
        <v/>
      </c>
      <c r="J54" s="57"/>
      <c r="K54" s="54" t="str">
        <f>IF(H54="","",MID(VLOOKUP(H54,Codigo_Material!$A$2:$C$6426,3,0),1,25))</f>
        <v/>
      </c>
      <c r="L54" s="19"/>
      <c r="M54" s="20"/>
      <c r="N54" s="1"/>
      <c r="O54" s="2"/>
      <c r="P54" s="58"/>
      <c r="Q54" s="58"/>
      <c r="R54" s="58"/>
      <c r="S54" s="55"/>
      <c r="T54" s="36"/>
    </row>
    <row r="55" spans="1:20" s="37" customFormat="1" x14ac:dyDescent="0.25">
      <c r="A55" s="33"/>
      <c r="B55" s="54" t="str">
        <f t="shared" si="0"/>
        <v>K4B6</v>
      </c>
      <c r="C55" s="56" t="str">
        <f t="shared" si="1"/>
        <v>OBRA</v>
      </c>
      <c r="D55" s="56"/>
      <c r="E55" s="54" t="str">
        <f t="shared" si="2"/>
        <v/>
      </c>
      <c r="F55" s="22" t="str">
        <f t="shared" si="3"/>
        <v/>
      </c>
      <c r="G55" s="22" t="str">
        <f t="shared" si="4"/>
        <v/>
      </c>
      <c r="H55" s="49"/>
      <c r="I55" s="57" t="str">
        <f>IF(H55="","",MID(VLOOKUP(H55,Codigo_Material!$A$2:$C$9999,2,0),1,30))</f>
        <v/>
      </c>
      <c r="J55" s="57"/>
      <c r="K55" s="54" t="str">
        <f>IF(H55="","",MID(VLOOKUP(H55,Codigo_Material!$A$2:$C$6426,3,0),1,25))</f>
        <v/>
      </c>
      <c r="L55" s="19"/>
      <c r="M55" s="20"/>
      <c r="N55" s="1"/>
      <c r="O55" s="2"/>
      <c r="P55" s="58"/>
      <c r="Q55" s="58"/>
      <c r="R55" s="58"/>
      <c r="S55" s="55"/>
      <c r="T55" s="36"/>
    </row>
    <row r="56" spans="1:20" s="37" customFormat="1" x14ac:dyDescent="0.25">
      <c r="A56" s="33"/>
      <c r="B56" s="54" t="str">
        <f t="shared" si="0"/>
        <v>K4B6</v>
      </c>
      <c r="C56" s="56" t="str">
        <f t="shared" si="1"/>
        <v>OBRA</v>
      </c>
      <c r="D56" s="56"/>
      <c r="E56" s="54" t="str">
        <f t="shared" si="2"/>
        <v/>
      </c>
      <c r="F56" s="22" t="str">
        <f t="shared" si="3"/>
        <v/>
      </c>
      <c r="G56" s="22" t="str">
        <f t="shared" si="4"/>
        <v/>
      </c>
      <c r="H56" s="49"/>
      <c r="I56" s="57" t="str">
        <f>IF(H56="","",MID(VLOOKUP(H56,Codigo_Material!$A$2:$C$9999,2,0),1,30))</f>
        <v/>
      </c>
      <c r="J56" s="57"/>
      <c r="K56" s="54" t="str">
        <f>IF(H56="","",MID(VLOOKUP(H56,Codigo_Material!$A$2:$C$6426,3,0),1,25))</f>
        <v/>
      </c>
      <c r="L56" s="19"/>
      <c r="M56" s="20"/>
      <c r="N56" s="1"/>
      <c r="O56" s="2"/>
      <c r="P56" s="58"/>
      <c r="Q56" s="58"/>
      <c r="R56" s="58"/>
      <c r="S56" s="55"/>
      <c r="T56" s="36"/>
    </row>
    <row r="57" spans="1:20" s="37" customFormat="1" x14ac:dyDescent="0.25">
      <c r="A57" s="33"/>
      <c r="B57" s="54" t="str">
        <f t="shared" si="0"/>
        <v>K4B6</v>
      </c>
      <c r="C57" s="56" t="str">
        <f t="shared" si="1"/>
        <v>OBRA</v>
      </c>
      <c r="D57" s="56"/>
      <c r="E57" s="54" t="str">
        <f t="shared" si="2"/>
        <v/>
      </c>
      <c r="F57" s="22" t="str">
        <f t="shared" si="3"/>
        <v/>
      </c>
      <c r="G57" s="22" t="str">
        <f t="shared" si="4"/>
        <v/>
      </c>
      <c r="H57" s="49"/>
      <c r="I57" s="57" t="str">
        <f>IF(H57="","",MID(VLOOKUP(H57,Codigo_Material!$A$2:$C$9999,2,0),1,30))</f>
        <v/>
      </c>
      <c r="J57" s="57"/>
      <c r="K57" s="54" t="str">
        <f>IF(H57="","",MID(VLOOKUP(H57,Codigo_Material!$A$2:$C$6426,3,0),1,25))</f>
        <v/>
      </c>
      <c r="L57" s="19"/>
      <c r="M57" s="20"/>
      <c r="N57" s="1"/>
      <c r="O57" s="2"/>
      <c r="P57" s="58"/>
      <c r="Q57" s="58"/>
      <c r="R57" s="58"/>
      <c r="S57" s="55"/>
      <c r="T57" s="36"/>
    </row>
    <row r="58" spans="1:20" s="37" customFormat="1" x14ac:dyDescent="0.25">
      <c r="A58" s="33"/>
      <c r="B58" s="54" t="str">
        <f t="shared" si="0"/>
        <v>K4B6</v>
      </c>
      <c r="C58" s="56" t="str">
        <f t="shared" si="1"/>
        <v>OBRA</v>
      </c>
      <c r="D58" s="56"/>
      <c r="E58" s="54" t="str">
        <f t="shared" si="2"/>
        <v/>
      </c>
      <c r="F58" s="22" t="str">
        <f t="shared" si="3"/>
        <v/>
      </c>
      <c r="G58" s="22" t="str">
        <f t="shared" si="4"/>
        <v/>
      </c>
      <c r="H58" s="49"/>
      <c r="I58" s="57" t="str">
        <f>IF(H58="","",MID(VLOOKUP(H58,Codigo_Material!$A$2:$C$9999,2,0),1,30))</f>
        <v/>
      </c>
      <c r="J58" s="57"/>
      <c r="K58" s="54" t="str">
        <f>IF(H58="","",MID(VLOOKUP(H58,Codigo_Material!$A$2:$C$6426,3,0),1,25))</f>
        <v/>
      </c>
      <c r="L58" s="19"/>
      <c r="M58" s="20"/>
      <c r="N58" s="1"/>
      <c r="O58" s="2"/>
      <c r="P58" s="58"/>
      <c r="Q58" s="58"/>
      <c r="R58" s="58"/>
      <c r="S58" s="55"/>
      <c r="T58" s="36"/>
    </row>
    <row r="59" spans="1:20" s="37" customFormat="1" x14ac:dyDescent="0.25">
      <c r="A59" s="33"/>
      <c r="B59" s="54" t="str">
        <f t="shared" si="0"/>
        <v>K4B6</v>
      </c>
      <c r="C59" s="56" t="str">
        <f t="shared" si="1"/>
        <v>OBRA</v>
      </c>
      <c r="D59" s="56"/>
      <c r="E59" s="54" t="str">
        <f t="shared" si="2"/>
        <v/>
      </c>
      <c r="F59" s="22" t="str">
        <f t="shared" si="3"/>
        <v/>
      </c>
      <c r="G59" s="22" t="str">
        <f t="shared" si="4"/>
        <v/>
      </c>
      <c r="H59" s="49"/>
      <c r="I59" s="57" t="str">
        <f>IF(H59="","",MID(VLOOKUP(H59,Codigo_Material!$A$2:$C$9999,2,0),1,30))</f>
        <v/>
      </c>
      <c r="J59" s="57"/>
      <c r="K59" s="54" t="str">
        <f>IF(H59="","",MID(VLOOKUP(H59,Codigo_Material!$A$2:$C$6426,3,0),1,25))</f>
        <v/>
      </c>
      <c r="L59" s="19"/>
      <c r="M59" s="20"/>
      <c r="N59" s="1"/>
      <c r="O59" s="2"/>
      <c r="P59" s="58"/>
      <c r="Q59" s="58"/>
      <c r="R59" s="58"/>
      <c r="S59" s="55"/>
      <c r="T59" s="36"/>
    </row>
    <row r="60" spans="1:20" s="37" customFormat="1" x14ac:dyDescent="0.25">
      <c r="A60" s="33"/>
      <c r="B60" s="54" t="str">
        <f t="shared" si="0"/>
        <v>K4B6</v>
      </c>
      <c r="C60" s="56" t="str">
        <f t="shared" si="1"/>
        <v>OBRA</v>
      </c>
      <c r="D60" s="56"/>
      <c r="E60" s="54" t="str">
        <f t="shared" si="2"/>
        <v/>
      </c>
      <c r="F60" s="22" t="str">
        <f t="shared" si="3"/>
        <v/>
      </c>
      <c r="G60" s="22" t="str">
        <f t="shared" si="4"/>
        <v/>
      </c>
      <c r="H60" s="49"/>
      <c r="I60" s="57" t="str">
        <f>IF(H60="","",MID(VLOOKUP(H60,Codigo_Material!$A$2:$C$9999,2,0),1,30))</f>
        <v/>
      </c>
      <c r="J60" s="57"/>
      <c r="K60" s="54" t="str">
        <f>IF(H60="","",MID(VLOOKUP(H60,Codigo_Material!$A$2:$C$6426,3,0),1,25))</f>
        <v/>
      </c>
      <c r="L60" s="19"/>
      <c r="M60" s="20"/>
      <c r="N60" s="1"/>
      <c r="O60" s="2"/>
      <c r="P60" s="58"/>
      <c r="Q60" s="58"/>
      <c r="R60" s="58"/>
      <c r="S60" s="55"/>
      <c r="T60" s="36"/>
    </row>
    <row r="61" spans="1:20" s="37" customFormat="1" x14ac:dyDescent="0.25">
      <c r="A61" s="33"/>
      <c r="B61" s="54" t="str">
        <f t="shared" si="0"/>
        <v>K4B6</v>
      </c>
      <c r="C61" s="56" t="str">
        <f t="shared" si="1"/>
        <v>OBRA</v>
      </c>
      <c r="D61" s="56"/>
      <c r="E61" s="54" t="str">
        <f t="shared" si="2"/>
        <v/>
      </c>
      <c r="F61" s="22" t="str">
        <f t="shared" si="3"/>
        <v/>
      </c>
      <c r="G61" s="22" t="str">
        <f t="shared" si="4"/>
        <v/>
      </c>
      <c r="H61" s="49"/>
      <c r="I61" s="57" t="str">
        <f>IF(H61="","",MID(VLOOKUP(H61,Codigo_Material!$A$2:$C$9999,2,0),1,30))</f>
        <v/>
      </c>
      <c r="J61" s="57"/>
      <c r="K61" s="54" t="str">
        <f>IF(H61="","",MID(VLOOKUP(H61,Codigo_Material!$A$2:$C$6426,3,0),1,25))</f>
        <v/>
      </c>
      <c r="L61" s="19"/>
      <c r="M61" s="20"/>
      <c r="N61" s="1"/>
      <c r="O61" s="2"/>
      <c r="P61" s="58"/>
      <c r="Q61" s="58"/>
      <c r="R61" s="58"/>
      <c r="S61" s="55"/>
      <c r="T61" s="36"/>
    </row>
    <row r="62" spans="1:20" s="37" customFormat="1" x14ac:dyDescent="0.25">
      <c r="A62" s="33"/>
      <c r="B62" s="54" t="str">
        <f t="shared" si="0"/>
        <v>K4B6</v>
      </c>
      <c r="C62" s="56" t="str">
        <f t="shared" si="1"/>
        <v>OBRA</v>
      </c>
      <c r="D62" s="56"/>
      <c r="E62" s="54" t="str">
        <f t="shared" si="2"/>
        <v/>
      </c>
      <c r="F62" s="22" t="str">
        <f t="shared" si="3"/>
        <v/>
      </c>
      <c r="G62" s="22" t="str">
        <f t="shared" si="4"/>
        <v/>
      </c>
      <c r="H62" s="49"/>
      <c r="I62" s="57" t="str">
        <f>IF(H62="","",MID(VLOOKUP(H62,Codigo_Material!$A$2:$C$9999,2,0),1,30))</f>
        <v/>
      </c>
      <c r="J62" s="57"/>
      <c r="K62" s="54" t="str">
        <f>IF(H62="","",MID(VLOOKUP(H62,Codigo_Material!$A$2:$C$6426,3,0),1,25))</f>
        <v/>
      </c>
      <c r="L62" s="19"/>
      <c r="M62" s="20"/>
      <c r="N62" s="1"/>
      <c r="O62" s="2"/>
      <c r="P62" s="58"/>
      <c r="Q62" s="58"/>
      <c r="R62" s="58"/>
      <c r="S62" s="55"/>
      <c r="T62" s="36"/>
    </row>
    <row r="63" spans="1:20" s="37" customFormat="1" x14ac:dyDescent="0.25">
      <c r="A63" s="33"/>
      <c r="B63" s="54" t="str">
        <f t="shared" si="0"/>
        <v>K4B6</v>
      </c>
      <c r="C63" s="56" t="str">
        <f t="shared" si="1"/>
        <v>OBRA</v>
      </c>
      <c r="D63" s="56"/>
      <c r="E63" s="54" t="str">
        <f t="shared" si="2"/>
        <v/>
      </c>
      <c r="F63" s="22" t="str">
        <f t="shared" si="3"/>
        <v/>
      </c>
      <c r="G63" s="22" t="str">
        <f t="shared" si="4"/>
        <v/>
      </c>
      <c r="H63" s="49"/>
      <c r="I63" s="57" t="str">
        <f>IF(H63="","",MID(VLOOKUP(H63,Codigo_Material!$A$2:$C$9999,2,0),1,30))</f>
        <v/>
      </c>
      <c r="J63" s="57"/>
      <c r="K63" s="54" t="str">
        <f>IF(H63="","",MID(VLOOKUP(H63,Codigo_Material!$A$2:$C$6426,3,0),1,25))</f>
        <v/>
      </c>
      <c r="L63" s="19"/>
      <c r="M63" s="20"/>
      <c r="N63" s="1"/>
      <c r="O63" s="2"/>
      <c r="P63" s="58"/>
      <c r="Q63" s="58"/>
      <c r="R63" s="58"/>
      <c r="S63" s="55"/>
      <c r="T63" s="36"/>
    </row>
    <row r="64" spans="1:20" s="37" customFormat="1" x14ac:dyDescent="0.25">
      <c r="A64" s="33"/>
      <c r="B64" s="54" t="str">
        <f t="shared" si="0"/>
        <v>K4B6</v>
      </c>
      <c r="C64" s="56" t="str">
        <f t="shared" si="1"/>
        <v>OBRA</v>
      </c>
      <c r="D64" s="56"/>
      <c r="E64" s="54" t="str">
        <f t="shared" si="2"/>
        <v/>
      </c>
      <c r="F64" s="22" t="str">
        <f t="shared" si="3"/>
        <v/>
      </c>
      <c r="G64" s="22" t="str">
        <f t="shared" si="4"/>
        <v/>
      </c>
      <c r="H64" s="49"/>
      <c r="I64" s="57" t="str">
        <f>IF(H64="","",MID(VLOOKUP(H64,Codigo_Material!$A$2:$C$9999,2,0),1,30))</f>
        <v/>
      </c>
      <c r="J64" s="57"/>
      <c r="K64" s="54" t="str">
        <f>IF(H64="","",MID(VLOOKUP(H64,Codigo_Material!$A$2:$C$6426,3,0),1,25))</f>
        <v/>
      </c>
      <c r="L64" s="19"/>
      <c r="M64" s="20"/>
      <c r="N64" s="1"/>
      <c r="O64" s="2"/>
      <c r="P64" s="58"/>
      <c r="Q64" s="58"/>
      <c r="R64" s="58"/>
      <c r="S64" s="55"/>
      <c r="T64" s="36"/>
    </row>
    <row r="65" spans="1:20" s="37" customFormat="1" x14ac:dyDescent="0.25">
      <c r="A65" s="33"/>
      <c r="B65" s="54" t="str">
        <f t="shared" si="0"/>
        <v>K4B6</v>
      </c>
      <c r="C65" s="56" t="str">
        <f t="shared" si="1"/>
        <v>OBRA</v>
      </c>
      <c r="D65" s="56"/>
      <c r="E65" s="54" t="str">
        <f t="shared" si="2"/>
        <v/>
      </c>
      <c r="F65" s="22" t="str">
        <f t="shared" si="3"/>
        <v/>
      </c>
      <c r="G65" s="22" t="str">
        <f t="shared" si="4"/>
        <v/>
      </c>
      <c r="H65" s="49"/>
      <c r="I65" s="57" t="str">
        <f>IF(H65="","",MID(VLOOKUP(H65,Codigo_Material!$A$2:$C$9999,2,0),1,30))</f>
        <v/>
      </c>
      <c r="J65" s="57"/>
      <c r="K65" s="54" t="str">
        <f>IF(H65="","",MID(VLOOKUP(H65,Codigo_Material!$A$2:$C$6426,3,0),1,25))</f>
        <v/>
      </c>
      <c r="L65" s="19"/>
      <c r="M65" s="20"/>
      <c r="N65" s="1"/>
      <c r="O65" s="2"/>
      <c r="P65" s="58"/>
      <c r="Q65" s="58"/>
      <c r="R65" s="58"/>
      <c r="S65" s="55"/>
      <c r="T65" s="36"/>
    </row>
    <row r="66" spans="1:20" s="37" customFormat="1" x14ac:dyDescent="0.25">
      <c r="A66" s="33"/>
      <c r="B66" s="54" t="str">
        <f t="shared" si="0"/>
        <v>K4B6</v>
      </c>
      <c r="C66" s="56" t="str">
        <f t="shared" si="1"/>
        <v>OBRA</v>
      </c>
      <c r="D66" s="56"/>
      <c r="E66" s="54" t="str">
        <f t="shared" si="2"/>
        <v/>
      </c>
      <c r="F66" s="22" t="str">
        <f t="shared" si="3"/>
        <v/>
      </c>
      <c r="G66" s="22" t="str">
        <f t="shared" si="4"/>
        <v/>
      </c>
      <c r="H66" s="49"/>
      <c r="I66" s="57" t="str">
        <f>IF(H66="","",MID(VLOOKUP(H66,Codigo_Material!$A$2:$C$9999,2,0),1,30))</f>
        <v/>
      </c>
      <c r="J66" s="57"/>
      <c r="K66" s="54" t="str">
        <f>IF(H66="","",MID(VLOOKUP(H66,Codigo_Material!$A$2:$C$6426,3,0),1,25))</f>
        <v/>
      </c>
      <c r="L66" s="19"/>
      <c r="M66" s="20"/>
      <c r="N66" s="1"/>
      <c r="O66" s="2"/>
      <c r="P66" s="58"/>
      <c r="Q66" s="58"/>
      <c r="R66" s="58"/>
      <c r="S66" s="55"/>
      <c r="T66" s="36"/>
    </row>
    <row r="67" spans="1:20" s="37" customFormat="1" x14ac:dyDescent="0.25">
      <c r="A67" s="33"/>
      <c r="B67" s="54" t="str">
        <f t="shared" si="0"/>
        <v>K4B6</v>
      </c>
      <c r="C67" s="56" t="str">
        <f t="shared" si="1"/>
        <v>OBRA</v>
      </c>
      <c r="D67" s="56"/>
      <c r="E67" s="54" t="str">
        <f t="shared" si="2"/>
        <v/>
      </c>
      <c r="F67" s="22" t="str">
        <f t="shared" si="3"/>
        <v/>
      </c>
      <c r="G67" s="22" t="str">
        <f t="shared" si="4"/>
        <v/>
      </c>
      <c r="H67" s="49"/>
      <c r="I67" s="57" t="str">
        <f>IF(H67="","",MID(VLOOKUP(H67,Codigo_Material!$A$2:$C$9999,2,0),1,30))</f>
        <v/>
      </c>
      <c r="J67" s="57"/>
      <c r="K67" s="54" t="str">
        <f>IF(H67="","",MID(VLOOKUP(H67,Codigo_Material!$A$2:$C$6426,3,0),1,25))</f>
        <v/>
      </c>
      <c r="L67" s="19"/>
      <c r="M67" s="20"/>
      <c r="N67" s="1"/>
      <c r="O67" s="2"/>
      <c r="P67" s="58"/>
      <c r="Q67" s="58"/>
      <c r="R67" s="58"/>
      <c r="S67" s="55"/>
      <c r="T67" s="36"/>
    </row>
    <row r="68" spans="1:20" s="37" customFormat="1" x14ac:dyDescent="0.25">
      <c r="A68" s="33"/>
      <c r="B68" s="54" t="str">
        <f t="shared" si="0"/>
        <v>K4B6</v>
      </c>
      <c r="C68" s="56" t="str">
        <f t="shared" si="1"/>
        <v>OBRA</v>
      </c>
      <c r="D68" s="56"/>
      <c r="E68" s="54" t="str">
        <f t="shared" si="2"/>
        <v/>
      </c>
      <c r="F68" s="22" t="str">
        <f t="shared" si="3"/>
        <v/>
      </c>
      <c r="G68" s="22" t="str">
        <f t="shared" si="4"/>
        <v/>
      </c>
      <c r="H68" s="49"/>
      <c r="I68" s="57" t="str">
        <f>IF(H68="","",MID(VLOOKUP(H68,Codigo_Material!$A$2:$C$9999,2,0),1,30))</f>
        <v/>
      </c>
      <c r="J68" s="57"/>
      <c r="K68" s="54" t="str">
        <f>IF(H68="","",MID(VLOOKUP(H68,Codigo_Material!$A$2:$C$6426,3,0),1,25))</f>
        <v/>
      </c>
      <c r="L68" s="19"/>
      <c r="M68" s="20"/>
      <c r="N68" s="1"/>
      <c r="O68" s="2"/>
      <c r="P68" s="58"/>
      <c r="Q68" s="58"/>
      <c r="R68" s="58"/>
      <c r="S68" s="55"/>
      <c r="T68" s="36"/>
    </row>
    <row r="69" spans="1:20" s="37" customFormat="1" x14ac:dyDescent="0.25">
      <c r="A69" s="33"/>
      <c r="B69" s="54" t="str">
        <f t="shared" si="0"/>
        <v>K4B6</v>
      </c>
      <c r="C69" s="56" t="str">
        <f t="shared" si="1"/>
        <v>OBRA</v>
      </c>
      <c r="D69" s="56"/>
      <c r="E69" s="54" t="str">
        <f t="shared" si="2"/>
        <v/>
      </c>
      <c r="F69" s="22" t="str">
        <f t="shared" si="3"/>
        <v/>
      </c>
      <c r="G69" s="22" t="str">
        <f t="shared" si="4"/>
        <v/>
      </c>
      <c r="H69" s="49"/>
      <c r="I69" s="57" t="str">
        <f>IF(H69="","",MID(VLOOKUP(H69,Codigo_Material!$A$2:$C$9999,2,0),1,30))</f>
        <v/>
      </c>
      <c r="J69" s="57"/>
      <c r="K69" s="54" t="str">
        <f>IF(H69="","",MID(VLOOKUP(H69,Codigo_Material!$A$2:$C$6426,3,0),1,25))</f>
        <v/>
      </c>
      <c r="L69" s="19"/>
      <c r="M69" s="20"/>
      <c r="N69" s="1"/>
      <c r="O69" s="2"/>
      <c r="P69" s="58"/>
      <c r="Q69" s="58"/>
      <c r="R69" s="58"/>
      <c r="S69" s="55"/>
      <c r="T69" s="36"/>
    </row>
    <row r="70" spans="1:20" s="37" customFormat="1" x14ac:dyDescent="0.25">
      <c r="A70" s="33"/>
      <c r="B70" s="54" t="str">
        <f t="shared" si="0"/>
        <v>K4B6</v>
      </c>
      <c r="C70" s="56" t="str">
        <f t="shared" si="1"/>
        <v>OBRA</v>
      </c>
      <c r="D70" s="56"/>
      <c r="E70" s="54" t="str">
        <f t="shared" si="2"/>
        <v/>
      </c>
      <c r="F70" s="22" t="str">
        <f t="shared" si="3"/>
        <v/>
      </c>
      <c r="G70" s="22" t="str">
        <f t="shared" si="4"/>
        <v/>
      </c>
      <c r="H70" s="49"/>
      <c r="I70" s="57" t="str">
        <f>IF(H70="","",MID(VLOOKUP(H70,Codigo_Material!$A$2:$C$9999,2,0),1,30))</f>
        <v/>
      </c>
      <c r="J70" s="57"/>
      <c r="K70" s="54" t="str">
        <f>IF(H70="","",MID(VLOOKUP(H70,Codigo_Material!$A$2:$C$6426,3,0),1,25))</f>
        <v/>
      </c>
      <c r="L70" s="19"/>
      <c r="M70" s="20"/>
      <c r="N70" s="1"/>
      <c r="O70" s="2"/>
      <c r="P70" s="58"/>
      <c r="Q70" s="58"/>
      <c r="R70" s="58"/>
      <c r="S70" s="55"/>
      <c r="T70" s="36"/>
    </row>
    <row r="71" spans="1:20" s="37" customFormat="1" x14ac:dyDescent="0.25">
      <c r="A71" s="33"/>
      <c r="B71" s="54" t="str">
        <f t="shared" si="0"/>
        <v>K4B6</v>
      </c>
      <c r="C71" s="56" t="str">
        <f t="shared" si="1"/>
        <v>OBRA</v>
      </c>
      <c r="D71" s="56"/>
      <c r="E71" s="54" t="str">
        <f t="shared" si="2"/>
        <v/>
      </c>
      <c r="F71" s="22" t="str">
        <f t="shared" si="3"/>
        <v/>
      </c>
      <c r="G71" s="22" t="str">
        <f t="shared" si="4"/>
        <v/>
      </c>
      <c r="H71" s="49"/>
      <c r="I71" s="57" t="str">
        <f>IF(H71="","",MID(VLOOKUP(H71,Codigo_Material!$A$2:$C$9999,2,0),1,30))</f>
        <v/>
      </c>
      <c r="J71" s="57"/>
      <c r="K71" s="54" t="str">
        <f>IF(H71="","",MID(VLOOKUP(H71,Codigo_Material!$A$2:$C$6426,3,0),1,25))</f>
        <v/>
      </c>
      <c r="L71" s="19"/>
      <c r="M71" s="20"/>
      <c r="N71" s="1"/>
      <c r="O71" s="2"/>
      <c r="P71" s="58"/>
      <c r="Q71" s="58"/>
      <c r="R71" s="58"/>
      <c r="S71" s="55"/>
      <c r="T71" s="36"/>
    </row>
    <row r="72" spans="1:20" s="37" customFormat="1" x14ac:dyDescent="0.25">
      <c r="A72" s="33"/>
      <c r="B72" s="54" t="str">
        <f t="shared" si="0"/>
        <v>K4B6</v>
      </c>
      <c r="C72" s="56" t="str">
        <f t="shared" si="1"/>
        <v>OBRA</v>
      </c>
      <c r="D72" s="56"/>
      <c r="E72" s="54" t="str">
        <f t="shared" si="2"/>
        <v/>
      </c>
      <c r="F72" s="22" t="str">
        <f t="shared" si="3"/>
        <v/>
      </c>
      <c r="G72" s="22" t="str">
        <f t="shared" si="4"/>
        <v/>
      </c>
      <c r="H72" s="49"/>
      <c r="I72" s="57" t="str">
        <f>IF(H72="","",MID(VLOOKUP(H72,Codigo_Material!$A$2:$C$9999,2,0),1,30))</f>
        <v/>
      </c>
      <c r="J72" s="57"/>
      <c r="K72" s="54" t="str">
        <f>IF(H72="","",MID(VLOOKUP(H72,Codigo_Material!$A$2:$C$6426,3,0),1,25))</f>
        <v/>
      </c>
      <c r="L72" s="19"/>
      <c r="M72" s="20"/>
      <c r="N72" s="1"/>
      <c r="O72" s="2"/>
      <c r="P72" s="58"/>
      <c r="Q72" s="58"/>
      <c r="R72" s="58"/>
      <c r="S72" s="55"/>
      <c r="T72" s="36"/>
    </row>
    <row r="73" spans="1:20" s="37" customFormat="1" x14ac:dyDescent="0.25">
      <c r="A73" s="33"/>
      <c r="B73" s="54" t="str">
        <f t="shared" si="0"/>
        <v>K4B6</v>
      </c>
      <c r="C73" s="56" t="str">
        <f t="shared" si="1"/>
        <v>OBRA</v>
      </c>
      <c r="D73" s="56"/>
      <c r="E73" s="54" t="str">
        <f t="shared" si="2"/>
        <v/>
      </c>
      <c r="F73" s="22" t="str">
        <f t="shared" si="3"/>
        <v/>
      </c>
      <c r="G73" s="22" t="str">
        <f t="shared" si="4"/>
        <v/>
      </c>
      <c r="H73" s="49"/>
      <c r="I73" s="57" t="str">
        <f>IF(H73="","",MID(VLOOKUP(H73,Codigo_Material!$A$2:$C$9999,2,0),1,30))</f>
        <v/>
      </c>
      <c r="J73" s="57"/>
      <c r="K73" s="54" t="str">
        <f>IF(H73="","",MID(VLOOKUP(H73,Codigo_Material!$A$2:$C$6426,3,0),1,25))</f>
        <v/>
      </c>
      <c r="L73" s="19"/>
      <c r="M73" s="20"/>
      <c r="N73" s="1"/>
      <c r="O73" s="2"/>
      <c r="P73" s="58"/>
      <c r="Q73" s="58"/>
      <c r="R73" s="58"/>
      <c r="S73" s="55"/>
      <c r="T73" s="36"/>
    </row>
    <row r="74" spans="1:20" s="37" customFormat="1" x14ac:dyDescent="0.25">
      <c r="A74" s="33"/>
      <c r="B74" s="54" t="str">
        <f t="shared" si="0"/>
        <v>K4B6</v>
      </c>
      <c r="C74" s="56" t="str">
        <f t="shared" si="1"/>
        <v>OBRA</v>
      </c>
      <c r="D74" s="56"/>
      <c r="E74" s="54" t="str">
        <f t="shared" si="2"/>
        <v/>
      </c>
      <c r="F74" s="22" t="str">
        <f t="shared" si="3"/>
        <v/>
      </c>
      <c r="G74" s="22" t="str">
        <f t="shared" si="4"/>
        <v/>
      </c>
      <c r="H74" s="49"/>
      <c r="I74" s="57" t="str">
        <f>IF(H74="","",MID(VLOOKUP(H74,Codigo_Material!$A$2:$C$9999,2,0),1,30))</f>
        <v/>
      </c>
      <c r="J74" s="57"/>
      <c r="K74" s="54" t="str">
        <f>IF(H74="","",MID(VLOOKUP(H74,Codigo_Material!$A$2:$C$6426,3,0),1,25))</f>
        <v/>
      </c>
      <c r="L74" s="19"/>
      <c r="M74" s="20"/>
      <c r="N74" s="1"/>
      <c r="O74" s="2"/>
      <c r="P74" s="58"/>
      <c r="Q74" s="58"/>
      <c r="R74" s="58"/>
      <c r="S74" s="55"/>
      <c r="T74" s="36"/>
    </row>
    <row r="75" spans="1:20" s="37" customFormat="1" x14ac:dyDescent="0.25">
      <c r="A75" s="33"/>
      <c r="B75" s="54" t="str">
        <f t="shared" ref="B75:B138" si="5">IF($D$5="","",$D$5)</f>
        <v>K4B6</v>
      </c>
      <c r="C75" s="56" t="str">
        <f t="shared" ref="C75:C138" si="6">IF($F$5="","",$F$5)</f>
        <v>OBRA</v>
      </c>
      <c r="D75" s="56"/>
      <c r="E75" s="54" t="str">
        <f t="shared" ref="E75:E138" si="7">IF($H$5="","",$H$5)</f>
        <v/>
      </c>
      <c r="F75" s="22" t="str">
        <f t="shared" ref="F75:F138" si="8">IF($P$7="","",$P$7)</f>
        <v/>
      </c>
      <c r="G75" s="22" t="str">
        <f t="shared" ref="G75:G138" si="9">IF($K$7="","",$K$7)</f>
        <v/>
      </c>
      <c r="H75" s="49"/>
      <c r="I75" s="57" t="str">
        <f>IF(H75="","",MID(VLOOKUP(H75,Codigo_Material!$A$2:$C$9999,2,0),1,30))</f>
        <v/>
      </c>
      <c r="J75" s="57"/>
      <c r="K75" s="54" t="str">
        <f>IF(H75="","",MID(VLOOKUP(H75,Codigo_Material!$A$2:$C$6426,3,0),1,25))</f>
        <v/>
      </c>
      <c r="L75" s="19"/>
      <c r="M75" s="20"/>
      <c r="N75" s="1"/>
      <c r="O75" s="2"/>
      <c r="P75" s="58"/>
      <c r="Q75" s="58"/>
      <c r="R75" s="58"/>
      <c r="S75" s="55"/>
      <c r="T75" s="36"/>
    </row>
    <row r="76" spans="1:20" s="37" customFormat="1" x14ac:dyDescent="0.25">
      <c r="A76" s="33"/>
      <c r="B76" s="54" t="str">
        <f t="shared" si="5"/>
        <v>K4B6</v>
      </c>
      <c r="C76" s="56" t="str">
        <f t="shared" si="6"/>
        <v>OBRA</v>
      </c>
      <c r="D76" s="56"/>
      <c r="E76" s="54" t="str">
        <f t="shared" si="7"/>
        <v/>
      </c>
      <c r="F76" s="22" t="str">
        <f t="shared" si="8"/>
        <v/>
      </c>
      <c r="G76" s="22" t="str">
        <f t="shared" si="9"/>
        <v/>
      </c>
      <c r="H76" s="49"/>
      <c r="I76" s="57" t="str">
        <f>IF(H76="","",MID(VLOOKUP(H76,Codigo_Material!$A$2:$C$9999,2,0),1,30))</f>
        <v/>
      </c>
      <c r="J76" s="57"/>
      <c r="K76" s="54" t="str">
        <f>IF(H76="","",MID(VLOOKUP(H76,Codigo_Material!$A$2:$C$6426,3,0),1,25))</f>
        <v/>
      </c>
      <c r="L76" s="19"/>
      <c r="M76" s="20"/>
      <c r="N76" s="1"/>
      <c r="O76" s="2"/>
      <c r="P76" s="58"/>
      <c r="Q76" s="58"/>
      <c r="R76" s="58"/>
      <c r="S76" s="55"/>
      <c r="T76" s="36"/>
    </row>
    <row r="77" spans="1:20" s="37" customFormat="1" x14ac:dyDescent="0.25">
      <c r="A77" s="33"/>
      <c r="B77" s="54" t="str">
        <f t="shared" si="5"/>
        <v>K4B6</v>
      </c>
      <c r="C77" s="56" t="str">
        <f t="shared" si="6"/>
        <v>OBRA</v>
      </c>
      <c r="D77" s="56"/>
      <c r="E77" s="54" t="str">
        <f t="shared" si="7"/>
        <v/>
      </c>
      <c r="F77" s="22" t="str">
        <f t="shared" si="8"/>
        <v/>
      </c>
      <c r="G77" s="22" t="str">
        <f t="shared" si="9"/>
        <v/>
      </c>
      <c r="H77" s="49"/>
      <c r="I77" s="57" t="str">
        <f>IF(H77="","",MID(VLOOKUP(H77,Codigo_Material!$A$2:$C$9999,2,0),1,30))</f>
        <v/>
      </c>
      <c r="J77" s="57"/>
      <c r="K77" s="54" t="str">
        <f>IF(H77="","",MID(VLOOKUP(H77,Codigo_Material!$A$2:$C$6426,3,0),1,25))</f>
        <v/>
      </c>
      <c r="L77" s="19"/>
      <c r="M77" s="20"/>
      <c r="N77" s="1"/>
      <c r="O77" s="2"/>
      <c r="P77" s="58"/>
      <c r="Q77" s="58"/>
      <c r="R77" s="58"/>
      <c r="S77" s="55"/>
      <c r="T77" s="36"/>
    </row>
    <row r="78" spans="1:20" s="37" customFormat="1" x14ac:dyDescent="0.25">
      <c r="A78" s="33"/>
      <c r="B78" s="54" t="str">
        <f t="shared" si="5"/>
        <v>K4B6</v>
      </c>
      <c r="C78" s="56" t="str">
        <f t="shared" si="6"/>
        <v>OBRA</v>
      </c>
      <c r="D78" s="56"/>
      <c r="E78" s="54" t="str">
        <f t="shared" si="7"/>
        <v/>
      </c>
      <c r="F78" s="22" t="str">
        <f t="shared" si="8"/>
        <v/>
      </c>
      <c r="G78" s="22" t="str">
        <f t="shared" si="9"/>
        <v/>
      </c>
      <c r="H78" s="49"/>
      <c r="I78" s="57" t="str">
        <f>IF(H78="","",MID(VLOOKUP(H78,Codigo_Material!$A$2:$C$9999,2,0),1,30))</f>
        <v/>
      </c>
      <c r="J78" s="57"/>
      <c r="K78" s="54" t="str">
        <f>IF(H78="","",MID(VLOOKUP(H78,Codigo_Material!$A$2:$C$6426,3,0),1,25))</f>
        <v/>
      </c>
      <c r="L78" s="19"/>
      <c r="M78" s="20"/>
      <c r="N78" s="1"/>
      <c r="O78" s="2"/>
      <c r="P78" s="58"/>
      <c r="Q78" s="58"/>
      <c r="R78" s="58"/>
      <c r="S78" s="55"/>
      <c r="T78" s="36"/>
    </row>
    <row r="79" spans="1:20" s="37" customFormat="1" x14ac:dyDescent="0.25">
      <c r="A79" s="33"/>
      <c r="B79" s="54" t="str">
        <f t="shared" si="5"/>
        <v>K4B6</v>
      </c>
      <c r="C79" s="56" t="str">
        <f t="shared" si="6"/>
        <v>OBRA</v>
      </c>
      <c r="D79" s="56"/>
      <c r="E79" s="54" t="str">
        <f t="shared" si="7"/>
        <v/>
      </c>
      <c r="F79" s="22" t="str">
        <f t="shared" si="8"/>
        <v/>
      </c>
      <c r="G79" s="22" t="str">
        <f t="shared" si="9"/>
        <v/>
      </c>
      <c r="H79" s="49"/>
      <c r="I79" s="57" t="str">
        <f>IF(H79="","",MID(VLOOKUP(H79,Codigo_Material!$A$2:$C$9999,2,0),1,30))</f>
        <v/>
      </c>
      <c r="J79" s="57"/>
      <c r="K79" s="54" t="str">
        <f>IF(H79="","",MID(VLOOKUP(H79,Codigo_Material!$A$2:$C$6426,3,0),1,25))</f>
        <v/>
      </c>
      <c r="L79" s="19"/>
      <c r="M79" s="20"/>
      <c r="N79" s="1"/>
      <c r="O79" s="2"/>
      <c r="P79" s="58"/>
      <c r="Q79" s="58"/>
      <c r="R79" s="58"/>
      <c r="S79" s="55"/>
      <c r="T79" s="36"/>
    </row>
    <row r="80" spans="1:20" s="37" customFormat="1" x14ac:dyDescent="0.25">
      <c r="A80" s="33"/>
      <c r="B80" s="54" t="str">
        <f t="shared" si="5"/>
        <v>K4B6</v>
      </c>
      <c r="C80" s="56" t="str">
        <f t="shared" si="6"/>
        <v>OBRA</v>
      </c>
      <c r="D80" s="56"/>
      <c r="E80" s="54" t="str">
        <f t="shared" si="7"/>
        <v/>
      </c>
      <c r="F80" s="22" t="str">
        <f t="shared" si="8"/>
        <v/>
      </c>
      <c r="G80" s="22" t="str">
        <f t="shared" si="9"/>
        <v/>
      </c>
      <c r="H80" s="49"/>
      <c r="I80" s="57" t="str">
        <f>IF(H80="","",MID(VLOOKUP(H80,Codigo_Material!$A$2:$C$9999,2,0),1,30))</f>
        <v/>
      </c>
      <c r="J80" s="57"/>
      <c r="K80" s="54" t="str">
        <f>IF(H80="","",MID(VLOOKUP(H80,Codigo_Material!$A$2:$C$6426,3,0),1,25))</f>
        <v/>
      </c>
      <c r="L80" s="19"/>
      <c r="M80" s="20"/>
      <c r="N80" s="1"/>
      <c r="O80" s="2"/>
      <c r="P80" s="58"/>
      <c r="Q80" s="58"/>
      <c r="R80" s="58"/>
      <c r="S80" s="55"/>
      <c r="T80" s="36"/>
    </row>
    <row r="81" spans="1:20" s="37" customFormat="1" x14ac:dyDescent="0.25">
      <c r="A81" s="33"/>
      <c r="B81" s="54" t="str">
        <f t="shared" si="5"/>
        <v>K4B6</v>
      </c>
      <c r="C81" s="56" t="str">
        <f t="shared" si="6"/>
        <v>OBRA</v>
      </c>
      <c r="D81" s="56"/>
      <c r="E81" s="54" t="str">
        <f t="shared" si="7"/>
        <v/>
      </c>
      <c r="F81" s="22" t="str">
        <f t="shared" si="8"/>
        <v/>
      </c>
      <c r="G81" s="22" t="str">
        <f t="shared" si="9"/>
        <v/>
      </c>
      <c r="H81" s="49"/>
      <c r="I81" s="57" t="str">
        <f>IF(H81="","",MID(VLOOKUP(H81,Codigo_Material!$A$2:$C$9999,2,0),1,30))</f>
        <v/>
      </c>
      <c r="J81" s="57"/>
      <c r="K81" s="54" t="str">
        <f>IF(H81="","",MID(VLOOKUP(H81,Codigo_Material!$A$2:$C$6426,3,0),1,25))</f>
        <v/>
      </c>
      <c r="L81" s="19"/>
      <c r="M81" s="20"/>
      <c r="N81" s="1"/>
      <c r="O81" s="2"/>
      <c r="P81" s="58"/>
      <c r="Q81" s="58"/>
      <c r="R81" s="58"/>
      <c r="S81" s="55"/>
      <c r="T81" s="36"/>
    </row>
    <row r="82" spans="1:20" s="37" customFormat="1" x14ac:dyDescent="0.25">
      <c r="A82" s="33"/>
      <c r="B82" s="54" t="str">
        <f t="shared" si="5"/>
        <v>K4B6</v>
      </c>
      <c r="C82" s="56" t="str">
        <f t="shared" si="6"/>
        <v>OBRA</v>
      </c>
      <c r="D82" s="56"/>
      <c r="E82" s="54" t="str">
        <f t="shared" si="7"/>
        <v/>
      </c>
      <c r="F82" s="22" t="str">
        <f t="shared" si="8"/>
        <v/>
      </c>
      <c r="G82" s="22" t="str">
        <f t="shared" si="9"/>
        <v/>
      </c>
      <c r="H82" s="49"/>
      <c r="I82" s="57" t="str">
        <f>IF(H82="","",MID(VLOOKUP(H82,Codigo_Material!$A$2:$C$9999,2,0),1,30))</f>
        <v/>
      </c>
      <c r="J82" s="57"/>
      <c r="K82" s="54" t="str">
        <f>IF(H82="","",MID(VLOOKUP(H82,Codigo_Material!$A$2:$C$6426,3,0),1,25))</f>
        <v/>
      </c>
      <c r="L82" s="19"/>
      <c r="M82" s="20"/>
      <c r="N82" s="1"/>
      <c r="O82" s="2"/>
      <c r="P82" s="58"/>
      <c r="Q82" s="58"/>
      <c r="R82" s="58"/>
      <c r="S82" s="55"/>
      <c r="T82" s="36"/>
    </row>
    <row r="83" spans="1:20" s="37" customFormat="1" x14ac:dyDescent="0.25">
      <c r="A83" s="33"/>
      <c r="B83" s="54" t="str">
        <f t="shared" si="5"/>
        <v>K4B6</v>
      </c>
      <c r="C83" s="56" t="str">
        <f t="shared" si="6"/>
        <v>OBRA</v>
      </c>
      <c r="D83" s="56"/>
      <c r="E83" s="54" t="str">
        <f t="shared" si="7"/>
        <v/>
      </c>
      <c r="F83" s="22" t="str">
        <f t="shared" si="8"/>
        <v/>
      </c>
      <c r="G83" s="22" t="str">
        <f t="shared" si="9"/>
        <v/>
      </c>
      <c r="H83" s="49"/>
      <c r="I83" s="57" t="str">
        <f>IF(H83="","",MID(VLOOKUP(H83,Codigo_Material!$A$2:$C$9999,2,0),1,30))</f>
        <v/>
      </c>
      <c r="J83" s="57"/>
      <c r="K83" s="54" t="str">
        <f>IF(H83="","",MID(VLOOKUP(H83,Codigo_Material!$A$2:$C$6426,3,0),1,25))</f>
        <v/>
      </c>
      <c r="L83" s="19"/>
      <c r="M83" s="20"/>
      <c r="N83" s="1"/>
      <c r="O83" s="2"/>
      <c r="P83" s="58"/>
      <c r="Q83" s="58"/>
      <c r="R83" s="58"/>
      <c r="S83" s="55"/>
      <c r="T83" s="36"/>
    </row>
    <row r="84" spans="1:20" s="37" customFormat="1" x14ac:dyDescent="0.25">
      <c r="A84" s="33"/>
      <c r="B84" s="54" t="str">
        <f t="shared" si="5"/>
        <v>K4B6</v>
      </c>
      <c r="C84" s="56" t="str">
        <f t="shared" si="6"/>
        <v>OBRA</v>
      </c>
      <c r="D84" s="56"/>
      <c r="E84" s="54" t="str">
        <f t="shared" si="7"/>
        <v/>
      </c>
      <c r="F84" s="22" t="str">
        <f t="shared" si="8"/>
        <v/>
      </c>
      <c r="G84" s="22" t="str">
        <f t="shared" si="9"/>
        <v/>
      </c>
      <c r="H84" s="49"/>
      <c r="I84" s="57" t="str">
        <f>IF(H84="","",MID(VLOOKUP(H84,Codigo_Material!$A$2:$C$9999,2,0),1,30))</f>
        <v/>
      </c>
      <c r="J84" s="57"/>
      <c r="K84" s="54" t="str">
        <f>IF(H84="","",MID(VLOOKUP(H84,Codigo_Material!$A$2:$C$6426,3,0),1,25))</f>
        <v/>
      </c>
      <c r="L84" s="19"/>
      <c r="M84" s="20"/>
      <c r="N84" s="1"/>
      <c r="O84" s="2"/>
      <c r="P84" s="58"/>
      <c r="Q84" s="58"/>
      <c r="R84" s="58"/>
      <c r="S84" s="55"/>
      <c r="T84" s="36"/>
    </row>
    <row r="85" spans="1:20" s="37" customFormat="1" x14ac:dyDescent="0.25">
      <c r="A85" s="33"/>
      <c r="B85" s="54" t="str">
        <f t="shared" si="5"/>
        <v>K4B6</v>
      </c>
      <c r="C85" s="56" t="str">
        <f t="shared" si="6"/>
        <v>OBRA</v>
      </c>
      <c r="D85" s="56"/>
      <c r="E85" s="54" t="str">
        <f t="shared" si="7"/>
        <v/>
      </c>
      <c r="F85" s="22" t="str">
        <f t="shared" si="8"/>
        <v/>
      </c>
      <c r="G85" s="22" t="str">
        <f t="shared" si="9"/>
        <v/>
      </c>
      <c r="H85" s="49"/>
      <c r="I85" s="57" t="str">
        <f>IF(H85="","",MID(VLOOKUP(H85,Codigo_Material!$A$2:$C$9999,2,0),1,30))</f>
        <v/>
      </c>
      <c r="J85" s="57"/>
      <c r="K85" s="54" t="str">
        <f>IF(H85="","",MID(VLOOKUP(H85,Codigo_Material!$A$2:$C$6426,3,0),1,25))</f>
        <v/>
      </c>
      <c r="L85" s="19"/>
      <c r="M85" s="20"/>
      <c r="N85" s="1"/>
      <c r="O85" s="2"/>
      <c r="P85" s="58"/>
      <c r="Q85" s="58"/>
      <c r="R85" s="58"/>
      <c r="S85" s="55"/>
      <c r="T85" s="36"/>
    </row>
    <row r="86" spans="1:20" s="37" customFormat="1" x14ac:dyDescent="0.25">
      <c r="A86" s="33"/>
      <c r="B86" s="54" t="str">
        <f t="shared" si="5"/>
        <v>K4B6</v>
      </c>
      <c r="C86" s="56" t="str">
        <f t="shared" si="6"/>
        <v>OBRA</v>
      </c>
      <c r="D86" s="56"/>
      <c r="E86" s="54" t="str">
        <f t="shared" si="7"/>
        <v/>
      </c>
      <c r="F86" s="22" t="str">
        <f t="shared" si="8"/>
        <v/>
      </c>
      <c r="G86" s="22" t="str">
        <f t="shared" si="9"/>
        <v/>
      </c>
      <c r="H86" s="49"/>
      <c r="I86" s="57" t="str">
        <f>IF(H86="","",MID(VLOOKUP(H86,Codigo_Material!$A$2:$C$9999,2,0),1,30))</f>
        <v/>
      </c>
      <c r="J86" s="57"/>
      <c r="K86" s="54" t="str">
        <f>IF(H86="","",MID(VLOOKUP(H86,Codigo_Material!$A$2:$C$6426,3,0),1,25))</f>
        <v/>
      </c>
      <c r="L86" s="19"/>
      <c r="M86" s="20"/>
      <c r="N86" s="1"/>
      <c r="O86" s="2"/>
      <c r="P86" s="58"/>
      <c r="Q86" s="58"/>
      <c r="R86" s="58"/>
      <c r="S86" s="55"/>
      <c r="T86" s="36"/>
    </row>
    <row r="87" spans="1:20" s="37" customFormat="1" x14ac:dyDescent="0.25">
      <c r="A87" s="33"/>
      <c r="B87" s="54" t="str">
        <f t="shared" si="5"/>
        <v>K4B6</v>
      </c>
      <c r="C87" s="56" t="str">
        <f t="shared" si="6"/>
        <v>OBRA</v>
      </c>
      <c r="D87" s="56"/>
      <c r="E87" s="54" t="str">
        <f t="shared" si="7"/>
        <v/>
      </c>
      <c r="F87" s="22" t="str">
        <f t="shared" si="8"/>
        <v/>
      </c>
      <c r="G87" s="22" t="str">
        <f t="shared" si="9"/>
        <v/>
      </c>
      <c r="H87" s="49"/>
      <c r="I87" s="57" t="str">
        <f>IF(H87="","",MID(VLOOKUP(H87,Codigo_Material!$A$2:$C$9999,2,0),1,30))</f>
        <v/>
      </c>
      <c r="J87" s="57"/>
      <c r="K87" s="54" t="str">
        <f>IF(H87="","",MID(VLOOKUP(H87,Codigo_Material!$A$2:$C$6426,3,0),1,25))</f>
        <v/>
      </c>
      <c r="L87" s="19"/>
      <c r="M87" s="20"/>
      <c r="N87" s="1"/>
      <c r="O87" s="2"/>
      <c r="P87" s="58"/>
      <c r="Q87" s="58"/>
      <c r="R87" s="58"/>
      <c r="S87" s="55"/>
      <c r="T87" s="36"/>
    </row>
    <row r="88" spans="1:20" s="37" customFormat="1" x14ac:dyDescent="0.25">
      <c r="A88" s="33"/>
      <c r="B88" s="54" t="str">
        <f t="shared" si="5"/>
        <v>K4B6</v>
      </c>
      <c r="C88" s="56" t="str">
        <f t="shared" si="6"/>
        <v>OBRA</v>
      </c>
      <c r="D88" s="56"/>
      <c r="E88" s="54" t="str">
        <f t="shared" si="7"/>
        <v/>
      </c>
      <c r="F88" s="22" t="str">
        <f t="shared" si="8"/>
        <v/>
      </c>
      <c r="G88" s="22" t="str">
        <f t="shared" si="9"/>
        <v/>
      </c>
      <c r="H88" s="49"/>
      <c r="I88" s="57" t="str">
        <f>IF(H88="","",MID(VLOOKUP(H88,Codigo_Material!$A$2:$C$9999,2,0),1,30))</f>
        <v/>
      </c>
      <c r="J88" s="57"/>
      <c r="K88" s="54" t="str">
        <f>IF(H88="","",MID(VLOOKUP(H88,Codigo_Material!$A$2:$C$6426,3,0),1,25))</f>
        <v/>
      </c>
      <c r="L88" s="19"/>
      <c r="M88" s="20"/>
      <c r="N88" s="1"/>
      <c r="O88" s="2"/>
      <c r="P88" s="58"/>
      <c r="Q88" s="58"/>
      <c r="R88" s="58"/>
      <c r="S88" s="55"/>
      <c r="T88" s="36"/>
    </row>
    <row r="89" spans="1:20" s="37" customFormat="1" x14ac:dyDescent="0.25">
      <c r="A89" s="33"/>
      <c r="B89" s="54" t="str">
        <f t="shared" si="5"/>
        <v>K4B6</v>
      </c>
      <c r="C89" s="56" t="str">
        <f t="shared" si="6"/>
        <v>OBRA</v>
      </c>
      <c r="D89" s="56"/>
      <c r="E89" s="54" t="str">
        <f t="shared" si="7"/>
        <v/>
      </c>
      <c r="F89" s="22" t="str">
        <f t="shared" si="8"/>
        <v/>
      </c>
      <c r="G89" s="22" t="str">
        <f t="shared" si="9"/>
        <v/>
      </c>
      <c r="H89" s="49"/>
      <c r="I89" s="57" t="str">
        <f>IF(H89="","",MID(VLOOKUP(H89,Codigo_Material!$A$2:$C$9999,2,0),1,30))</f>
        <v/>
      </c>
      <c r="J89" s="57"/>
      <c r="K89" s="54" t="str">
        <f>IF(H89="","",MID(VLOOKUP(H89,Codigo_Material!$A$2:$C$6426,3,0),1,25))</f>
        <v/>
      </c>
      <c r="L89" s="19"/>
      <c r="M89" s="20"/>
      <c r="N89" s="1"/>
      <c r="O89" s="2"/>
      <c r="P89" s="58"/>
      <c r="Q89" s="58"/>
      <c r="R89" s="58"/>
      <c r="S89" s="55"/>
      <c r="T89" s="36"/>
    </row>
    <row r="90" spans="1:20" s="37" customFormat="1" x14ac:dyDescent="0.25">
      <c r="A90" s="33"/>
      <c r="B90" s="54" t="str">
        <f t="shared" si="5"/>
        <v>K4B6</v>
      </c>
      <c r="C90" s="56" t="str">
        <f t="shared" si="6"/>
        <v>OBRA</v>
      </c>
      <c r="D90" s="56"/>
      <c r="E90" s="54" t="str">
        <f t="shared" si="7"/>
        <v/>
      </c>
      <c r="F90" s="22" t="str">
        <f t="shared" si="8"/>
        <v/>
      </c>
      <c r="G90" s="22" t="str">
        <f t="shared" si="9"/>
        <v/>
      </c>
      <c r="H90" s="49"/>
      <c r="I90" s="57" t="str">
        <f>IF(H90="","",MID(VLOOKUP(H90,Codigo_Material!$A$2:$C$9999,2,0),1,30))</f>
        <v/>
      </c>
      <c r="J90" s="57"/>
      <c r="K90" s="54" t="str">
        <f>IF(H90="","",MID(VLOOKUP(H90,Codigo_Material!$A$2:$C$6426,3,0),1,25))</f>
        <v/>
      </c>
      <c r="L90" s="19"/>
      <c r="M90" s="20"/>
      <c r="N90" s="1"/>
      <c r="O90" s="2"/>
      <c r="P90" s="58"/>
      <c r="Q90" s="58"/>
      <c r="R90" s="58"/>
      <c r="S90" s="55"/>
      <c r="T90" s="36"/>
    </row>
    <row r="91" spans="1:20" s="37" customFormat="1" x14ac:dyDescent="0.25">
      <c r="A91" s="33"/>
      <c r="B91" s="54" t="str">
        <f t="shared" si="5"/>
        <v>K4B6</v>
      </c>
      <c r="C91" s="56" t="str">
        <f t="shared" si="6"/>
        <v>OBRA</v>
      </c>
      <c r="D91" s="56"/>
      <c r="E91" s="54" t="str">
        <f t="shared" si="7"/>
        <v/>
      </c>
      <c r="F91" s="22" t="str">
        <f t="shared" si="8"/>
        <v/>
      </c>
      <c r="G91" s="22" t="str">
        <f t="shared" si="9"/>
        <v/>
      </c>
      <c r="H91" s="49"/>
      <c r="I91" s="57" t="str">
        <f>IF(H91="","",MID(VLOOKUP(H91,Codigo_Material!$A$2:$C$9999,2,0),1,30))</f>
        <v/>
      </c>
      <c r="J91" s="57"/>
      <c r="K91" s="54" t="str">
        <f>IF(H91="","",MID(VLOOKUP(H91,Codigo_Material!$A$2:$C$6426,3,0),1,25))</f>
        <v/>
      </c>
      <c r="L91" s="19"/>
      <c r="M91" s="20"/>
      <c r="N91" s="1"/>
      <c r="O91" s="2"/>
      <c r="P91" s="58"/>
      <c r="Q91" s="58"/>
      <c r="R91" s="58"/>
      <c r="S91" s="55"/>
      <c r="T91" s="36"/>
    </row>
    <row r="92" spans="1:20" s="37" customFormat="1" x14ac:dyDescent="0.25">
      <c r="A92" s="33"/>
      <c r="B92" s="54" t="str">
        <f t="shared" si="5"/>
        <v>K4B6</v>
      </c>
      <c r="C92" s="56" t="str">
        <f t="shared" si="6"/>
        <v>OBRA</v>
      </c>
      <c r="D92" s="56"/>
      <c r="E92" s="54" t="str">
        <f t="shared" si="7"/>
        <v/>
      </c>
      <c r="F92" s="22" t="str">
        <f t="shared" si="8"/>
        <v/>
      </c>
      <c r="G92" s="22" t="str">
        <f t="shared" si="9"/>
        <v/>
      </c>
      <c r="H92" s="49"/>
      <c r="I92" s="57" t="str">
        <f>IF(H92="","",MID(VLOOKUP(H92,Codigo_Material!$A$2:$C$9999,2,0),1,30))</f>
        <v/>
      </c>
      <c r="J92" s="57"/>
      <c r="K92" s="54" t="str">
        <f>IF(H92="","",MID(VLOOKUP(H92,Codigo_Material!$A$2:$C$6426,3,0),1,25))</f>
        <v/>
      </c>
      <c r="L92" s="19"/>
      <c r="M92" s="20"/>
      <c r="N92" s="1"/>
      <c r="O92" s="2"/>
      <c r="P92" s="58"/>
      <c r="Q92" s="58"/>
      <c r="R92" s="58"/>
      <c r="S92" s="55"/>
      <c r="T92" s="36"/>
    </row>
    <row r="93" spans="1:20" s="37" customFormat="1" x14ac:dyDescent="0.25">
      <c r="A93" s="33"/>
      <c r="B93" s="54" t="str">
        <f t="shared" si="5"/>
        <v>K4B6</v>
      </c>
      <c r="C93" s="56" t="str">
        <f t="shared" si="6"/>
        <v>OBRA</v>
      </c>
      <c r="D93" s="56"/>
      <c r="E93" s="54" t="str">
        <f t="shared" si="7"/>
        <v/>
      </c>
      <c r="F93" s="22" t="str">
        <f t="shared" si="8"/>
        <v/>
      </c>
      <c r="G93" s="22" t="str">
        <f t="shared" si="9"/>
        <v/>
      </c>
      <c r="H93" s="49"/>
      <c r="I93" s="57" t="str">
        <f>IF(H93="","",MID(VLOOKUP(H93,Codigo_Material!$A$2:$C$9999,2,0),1,30))</f>
        <v/>
      </c>
      <c r="J93" s="57"/>
      <c r="K93" s="54" t="str">
        <f>IF(H93="","",MID(VLOOKUP(H93,Codigo_Material!$A$2:$C$6426,3,0),1,25))</f>
        <v/>
      </c>
      <c r="L93" s="19"/>
      <c r="M93" s="20"/>
      <c r="N93" s="1"/>
      <c r="O93" s="2"/>
      <c r="P93" s="58"/>
      <c r="Q93" s="58"/>
      <c r="R93" s="58"/>
      <c r="S93" s="55"/>
      <c r="T93" s="36"/>
    </row>
    <row r="94" spans="1:20" s="37" customFormat="1" x14ac:dyDescent="0.25">
      <c r="A94" s="33"/>
      <c r="B94" s="54" t="str">
        <f t="shared" si="5"/>
        <v>K4B6</v>
      </c>
      <c r="C94" s="56" t="str">
        <f t="shared" si="6"/>
        <v>OBRA</v>
      </c>
      <c r="D94" s="56"/>
      <c r="E94" s="54" t="str">
        <f t="shared" si="7"/>
        <v/>
      </c>
      <c r="F94" s="22" t="str">
        <f t="shared" si="8"/>
        <v/>
      </c>
      <c r="G94" s="22" t="str">
        <f t="shared" si="9"/>
        <v/>
      </c>
      <c r="H94" s="49"/>
      <c r="I94" s="57" t="str">
        <f>IF(H94="","",MID(VLOOKUP(H94,Codigo_Material!$A$2:$C$9999,2,0),1,30))</f>
        <v/>
      </c>
      <c r="J94" s="57"/>
      <c r="K94" s="54" t="str">
        <f>IF(H94="","",MID(VLOOKUP(H94,Codigo_Material!$A$2:$C$6426,3,0),1,25))</f>
        <v/>
      </c>
      <c r="L94" s="19"/>
      <c r="M94" s="20"/>
      <c r="N94" s="1"/>
      <c r="O94" s="2"/>
      <c r="P94" s="58"/>
      <c r="Q94" s="58"/>
      <c r="R94" s="58"/>
      <c r="S94" s="55"/>
      <c r="T94" s="36"/>
    </row>
    <row r="95" spans="1:20" s="37" customFormat="1" x14ac:dyDescent="0.25">
      <c r="A95" s="33"/>
      <c r="B95" s="54" t="str">
        <f t="shared" si="5"/>
        <v>K4B6</v>
      </c>
      <c r="C95" s="56" t="str">
        <f t="shared" si="6"/>
        <v>OBRA</v>
      </c>
      <c r="D95" s="56"/>
      <c r="E95" s="54" t="str">
        <f t="shared" si="7"/>
        <v/>
      </c>
      <c r="F95" s="22" t="str">
        <f t="shared" si="8"/>
        <v/>
      </c>
      <c r="G95" s="22" t="str">
        <f t="shared" si="9"/>
        <v/>
      </c>
      <c r="H95" s="49"/>
      <c r="I95" s="57" t="str">
        <f>IF(H95="","",MID(VLOOKUP(H95,Codigo_Material!$A$2:$C$9999,2,0),1,30))</f>
        <v/>
      </c>
      <c r="J95" s="57"/>
      <c r="K95" s="54" t="str">
        <f>IF(H95="","",MID(VLOOKUP(H95,Codigo_Material!$A$2:$C$6426,3,0),1,25))</f>
        <v/>
      </c>
      <c r="L95" s="19"/>
      <c r="M95" s="20"/>
      <c r="N95" s="1"/>
      <c r="O95" s="2"/>
      <c r="P95" s="58"/>
      <c r="Q95" s="58"/>
      <c r="R95" s="58"/>
      <c r="S95" s="55"/>
      <c r="T95" s="36"/>
    </row>
    <row r="96" spans="1:20" s="37" customFormat="1" x14ac:dyDescent="0.25">
      <c r="A96" s="33"/>
      <c r="B96" s="54" t="str">
        <f t="shared" si="5"/>
        <v>K4B6</v>
      </c>
      <c r="C96" s="56" t="str">
        <f t="shared" si="6"/>
        <v>OBRA</v>
      </c>
      <c r="D96" s="56"/>
      <c r="E96" s="54" t="str">
        <f t="shared" si="7"/>
        <v/>
      </c>
      <c r="F96" s="22" t="str">
        <f t="shared" si="8"/>
        <v/>
      </c>
      <c r="G96" s="22" t="str">
        <f t="shared" si="9"/>
        <v/>
      </c>
      <c r="H96" s="49"/>
      <c r="I96" s="57" t="str">
        <f>IF(H96="","",MID(VLOOKUP(H96,Codigo_Material!$A$2:$C$9999,2,0),1,30))</f>
        <v/>
      </c>
      <c r="J96" s="57"/>
      <c r="K96" s="54" t="str">
        <f>IF(H96="","",MID(VLOOKUP(H96,Codigo_Material!$A$2:$C$6426,3,0),1,25))</f>
        <v/>
      </c>
      <c r="L96" s="19"/>
      <c r="M96" s="20"/>
      <c r="N96" s="1"/>
      <c r="O96" s="2"/>
      <c r="P96" s="58"/>
      <c r="Q96" s="58"/>
      <c r="R96" s="58"/>
      <c r="S96" s="55"/>
      <c r="T96" s="36"/>
    </row>
    <row r="97" spans="1:20" s="37" customFormat="1" x14ac:dyDescent="0.25">
      <c r="A97" s="33"/>
      <c r="B97" s="54" t="str">
        <f t="shared" si="5"/>
        <v>K4B6</v>
      </c>
      <c r="C97" s="56" t="str">
        <f t="shared" si="6"/>
        <v>OBRA</v>
      </c>
      <c r="D97" s="56"/>
      <c r="E97" s="54" t="str">
        <f t="shared" si="7"/>
        <v/>
      </c>
      <c r="F97" s="22" t="str">
        <f t="shared" si="8"/>
        <v/>
      </c>
      <c r="G97" s="22" t="str">
        <f t="shared" si="9"/>
        <v/>
      </c>
      <c r="H97" s="49"/>
      <c r="I97" s="57" t="str">
        <f>IF(H97="","",MID(VLOOKUP(H97,Codigo_Material!$A$2:$C$9999,2,0),1,30))</f>
        <v/>
      </c>
      <c r="J97" s="57"/>
      <c r="K97" s="54" t="str">
        <f>IF(H97="","",MID(VLOOKUP(H97,Codigo_Material!$A$2:$C$6426,3,0),1,25))</f>
        <v/>
      </c>
      <c r="L97" s="19"/>
      <c r="M97" s="20"/>
      <c r="N97" s="1"/>
      <c r="O97" s="2"/>
      <c r="P97" s="58"/>
      <c r="Q97" s="58"/>
      <c r="R97" s="58"/>
      <c r="S97" s="55"/>
      <c r="T97" s="36"/>
    </row>
    <row r="98" spans="1:20" s="37" customFormat="1" x14ac:dyDescent="0.25">
      <c r="A98" s="33"/>
      <c r="B98" s="54" t="str">
        <f t="shared" si="5"/>
        <v>K4B6</v>
      </c>
      <c r="C98" s="56" t="str">
        <f t="shared" si="6"/>
        <v>OBRA</v>
      </c>
      <c r="D98" s="56"/>
      <c r="E98" s="54" t="str">
        <f t="shared" si="7"/>
        <v/>
      </c>
      <c r="F98" s="22" t="str">
        <f t="shared" si="8"/>
        <v/>
      </c>
      <c r="G98" s="22" t="str">
        <f t="shared" si="9"/>
        <v/>
      </c>
      <c r="H98" s="49"/>
      <c r="I98" s="57" t="str">
        <f>IF(H98="","",MID(VLOOKUP(H98,Codigo_Material!$A$2:$C$9999,2,0),1,30))</f>
        <v/>
      </c>
      <c r="J98" s="57"/>
      <c r="K98" s="54" t="str">
        <f>IF(H98="","",MID(VLOOKUP(H98,Codigo_Material!$A$2:$C$6426,3,0),1,25))</f>
        <v/>
      </c>
      <c r="L98" s="19"/>
      <c r="M98" s="20"/>
      <c r="N98" s="1"/>
      <c r="O98" s="2"/>
      <c r="P98" s="58"/>
      <c r="Q98" s="58"/>
      <c r="R98" s="58"/>
      <c r="S98" s="55"/>
      <c r="T98" s="36"/>
    </row>
    <row r="99" spans="1:20" s="37" customFormat="1" x14ac:dyDescent="0.25">
      <c r="A99" s="33"/>
      <c r="B99" s="54" t="str">
        <f t="shared" si="5"/>
        <v>K4B6</v>
      </c>
      <c r="C99" s="56" t="str">
        <f t="shared" si="6"/>
        <v>OBRA</v>
      </c>
      <c r="D99" s="56"/>
      <c r="E99" s="54" t="str">
        <f t="shared" si="7"/>
        <v/>
      </c>
      <c r="F99" s="22" t="str">
        <f t="shared" si="8"/>
        <v/>
      </c>
      <c r="G99" s="22" t="str">
        <f t="shared" si="9"/>
        <v/>
      </c>
      <c r="H99" s="49"/>
      <c r="I99" s="57" t="str">
        <f>IF(H99="","",MID(VLOOKUP(H99,Codigo_Material!$A$2:$C$9999,2,0),1,30))</f>
        <v/>
      </c>
      <c r="J99" s="57"/>
      <c r="K99" s="54" t="str">
        <f>IF(H99="","",MID(VLOOKUP(H99,Codigo_Material!$A$2:$C$6426,3,0),1,25))</f>
        <v/>
      </c>
      <c r="L99" s="19"/>
      <c r="M99" s="20"/>
      <c r="N99" s="1"/>
      <c r="O99" s="2"/>
      <c r="P99" s="58"/>
      <c r="Q99" s="58"/>
      <c r="R99" s="58"/>
      <c r="S99" s="55"/>
      <c r="T99" s="36"/>
    </row>
    <row r="100" spans="1:20" s="37" customFormat="1" x14ac:dyDescent="0.25">
      <c r="A100" s="33"/>
      <c r="B100" s="54" t="str">
        <f t="shared" si="5"/>
        <v>K4B6</v>
      </c>
      <c r="C100" s="56" t="str">
        <f t="shared" si="6"/>
        <v>OBRA</v>
      </c>
      <c r="D100" s="56"/>
      <c r="E100" s="54" t="str">
        <f t="shared" si="7"/>
        <v/>
      </c>
      <c r="F100" s="22" t="str">
        <f t="shared" si="8"/>
        <v/>
      </c>
      <c r="G100" s="22" t="str">
        <f t="shared" si="9"/>
        <v/>
      </c>
      <c r="H100" s="49"/>
      <c r="I100" s="57" t="str">
        <f>IF(H100="","",MID(VLOOKUP(H100,Codigo_Material!$A$2:$C$9999,2,0),1,30))</f>
        <v/>
      </c>
      <c r="J100" s="57"/>
      <c r="K100" s="54" t="str">
        <f>IF(H100="","",MID(VLOOKUP(H100,Codigo_Material!$A$2:$C$6426,3,0),1,25))</f>
        <v/>
      </c>
      <c r="L100" s="19"/>
      <c r="M100" s="20"/>
      <c r="N100" s="1"/>
      <c r="O100" s="2"/>
      <c r="P100" s="58"/>
      <c r="Q100" s="58"/>
      <c r="R100" s="58"/>
      <c r="S100" s="55"/>
      <c r="T100" s="36"/>
    </row>
    <row r="101" spans="1:20" s="37" customFormat="1" x14ac:dyDescent="0.25">
      <c r="A101" s="33"/>
      <c r="B101" s="54" t="str">
        <f t="shared" si="5"/>
        <v>K4B6</v>
      </c>
      <c r="C101" s="56" t="str">
        <f t="shared" si="6"/>
        <v>OBRA</v>
      </c>
      <c r="D101" s="56"/>
      <c r="E101" s="54" t="str">
        <f t="shared" si="7"/>
        <v/>
      </c>
      <c r="F101" s="22" t="str">
        <f t="shared" si="8"/>
        <v/>
      </c>
      <c r="G101" s="22" t="str">
        <f t="shared" si="9"/>
        <v/>
      </c>
      <c r="H101" s="49"/>
      <c r="I101" s="57" t="str">
        <f>IF(H101="","",MID(VLOOKUP(H101,Codigo_Material!$A$2:$C$9999,2,0),1,30))</f>
        <v/>
      </c>
      <c r="J101" s="57"/>
      <c r="K101" s="54" t="str">
        <f>IF(H101="","",MID(VLOOKUP(H101,Codigo_Material!$A$2:$C$6426,3,0),1,25))</f>
        <v/>
      </c>
      <c r="L101" s="19"/>
      <c r="M101" s="20"/>
      <c r="N101" s="1"/>
      <c r="O101" s="2"/>
      <c r="P101" s="58"/>
      <c r="Q101" s="58"/>
      <c r="R101" s="58"/>
      <c r="S101" s="55"/>
      <c r="T101" s="36"/>
    </row>
    <row r="102" spans="1:20" s="37" customFormat="1" x14ac:dyDescent="0.25">
      <c r="A102" s="33"/>
      <c r="B102" s="54" t="str">
        <f t="shared" si="5"/>
        <v>K4B6</v>
      </c>
      <c r="C102" s="56" t="str">
        <f t="shared" si="6"/>
        <v>OBRA</v>
      </c>
      <c r="D102" s="56"/>
      <c r="E102" s="54" t="str">
        <f t="shared" si="7"/>
        <v/>
      </c>
      <c r="F102" s="22" t="str">
        <f t="shared" si="8"/>
        <v/>
      </c>
      <c r="G102" s="22" t="str">
        <f t="shared" si="9"/>
        <v/>
      </c>
      <c r="H102" s="49"/>
      <c r="I102" s="57" t="str">
        <f>IF(H102="","",MID(VLOOKUP(H102,Codigo_Material!$A$2:$C$9999,2,0),1,30))</f>
        <v/>
      </c>
      <c r="J102" s="57"/>
      <c r="K102" s="54" t="str">
        <f>IF(H102="","",MID(VLOOKUP(H102,Codigo_Material!$A$2:$C$6426,3,0),1,25))</f>
        <v/>
      </c>
      <c r="L102" s="19"/>
      <c r="M102" s="20"/>
      <c r="N102" s="1"/>
      <c r="O102" s="2"/>
      <c r="P102" s="58"/>
      <c r="Q102" s="58"/>
      <c r="R102" s="58"/>
      <c r="S102" s="55"/>
      <c r="T102" s="36"/>
    </row>
    <row r="103" spans="1:20" s="37" customFormat="1" x14ac:dyDescent="0.25">
      <c r="A103" s="33"/>
      <c r="B103" s="54" t="str">
        <f t="shared" si="5"/>
        <v>K4B6</v>
      </c>
      <c r="C103" s="56" t="str">
        <f t="shared" si="6"/>
        <v>OBRA</v>
      </c>
      <c r="D103" s="56"/>
      <c r="E103" s="54" t="str">
        <f t="shared" si="7"/>
        <v/>
      </c>
      <c r="F103" s="22" t="str">
        <f t="shared" si="8"/>
        <v/>
      </c>
      <c r="G103" s="22" t="str">
        <f t="shared" si="9"/>
        <v/>
      </c>
      <c r="H103" s="49"/>
      <c r="I103" s="57" t="str">
        <f>IF(H103="","",MID(VLOOKUP(H103,Codigo_Material!$A$2:$C$9999,2,0),1,30))</f>
        <v/>
      </c>
      <c r="J103" s="57"/>
      <c r="K103" s="54" t="str">
        <f>IF(H103="","",MID(VLOOKUP(H103,Codigo_Material!$A$2:$C$6426,3,0),1,25))</f>
        <v/>
      </c>
      <c r="L103" s="19"/>
      <c r="M103" s="20"/>
      <c r="N103" s="1"/>
      <c r="O103" s="2"/>
      <c r="P103" s="58"/>
      <c r="Q103" s="58"/>
      <c r="R103" s="58"/>
      <c r="S103" s="55"/>
      <c r="T103" s="36"/>
    </row>
    <row r="104" spans="1:20" s="37" customFormat="1" x14ac:dyDescent="0.25">
      <c r="A104" s="33"/>
      <c r="B104" s="54" t="str">
        <f t="shared" si="5"/>
        <v>K4B6</v>
      </c>
      <c r="C104" s="56" t="str">
        <f t="shared" si="6"/>
        <v>OBRA</v>
      </c>
      <c r="D104" s="56"/>
      <c r="E104" s="54" t="str">
        <f t="shared" si="7"/>
        <v/>
      </c>
      <c r="F104" s="22" t="str">
        <f t="shared" si="8"/>
        <v/>
      </c>
      <c r="G104" s="22" t="str">
        <f t="shared" si="9"/>
        <v/>
      </c>
      <c r="H104" s="49"/>
      <c r="I104" s="57" t="str">
        <f>IF(H104="","",MID(VLOOKUP(H104,Codigo_Material!$A$2:$C$9999,2,0),1,30))</f>
        <v/>
      </c>
      <c r="J104" s="57"/>
      <c r="K104" s="54" t="str">
        <f>IF(H104="","",MID(VLOOKUP(H104,Codigo_Material!$A$2:$C$6426,3,0),1,25))</f>
        <v/>
      </c>
      <c r="L104" s="19"/>
      <c r="M104" s="20"/>
      <c r="N104" s="1"/>
      <c r="O104" s="2"/>
      <c r="P104" s="58"/>
      <c r="Q104" s="58"/>
      <c r="R104" s="58"/>
      <c r="S104" s="55"/>
      <c r="T104" s="36"/>
    </row>
    <row r="105" spans="1:20" s="37" customFormat="1" x14ac:dyDescent="0.25">
      <c r="A105" s="33"/>
      <c r="B105" s="54" t="str">
        <f t="shared" si="5"/>
        <v>K4B6</v>
      </c>
      <c r="C105" s="56" t="str">
        <f t="shared" si="6"/>
        <v>OBRA</v>
      </c>
      <c r="D105" s="56"/>
      <c r="E105" s="54" t="str">
        <f t="shared" si="7"/>
        <v/>
      </c>
      <c r="F105" s="22" t="str">
        <f t="shared" si="8"/>
        <v/>
      </c>
      <c r="G105" s="22" t="str">
        <f t="shared" si="9"/>
        <v/>
      </c>
      <c r="H105" s="49"/>
      <c r="I105" s="57" t="str">
        <f>IF(H105="","",MID(VLOOKUP(H105,Codigo_Material!$A$2:$C$9999,2,0),1,30))</f>
        <v/>
      </c>
      <c r="J105" s="57"/>
      <c r="K105" s="54" t="str">
        <f>IF(H105="","",MID(VLOOKUP(H105,Codigo_Material!$A$2:$C$6426,3,0),1,25))</f>
        <v/>
      </c>
      <c r="L105" s="19"/>
      <c r="M105" s="20"/>
      <c r="N105" s="1"/>
      <c r="O105" s="2"/>
      <c r="P105" s="58"/>
      <c r="Q105" s="58"/>
      <c r="R105" s="58"/>
      <c r="S105" s="55"/>
      <c r="T105" s="36"/>
    </row>
    <row r="106" spans="1:20" s="37" customFormat="1" x14ac:dyDescent="0.25">
      <c r="A106" s="33"/>
      <c r="B106" s="54" t="str">
        <f t="shared" si="5"/>
        <v>K4B6</v>
      </c>
      <c r="C106" s="56" t="str">
        <f t="shared" si="6"/>
        <v>OBRA</v>
      </c>
      <c r="D106" s="56"/>
      <c r="E106" s="54" t="str">
        <f t="shared" si="7"/>
        <v/>
      </c>
      <c r="F106" s="22" t="str">
        <f t="shared" si="8"/>
        <v/>
      </c>
      <c r="G106" s="22" t="str">
        <f t="shared" si="9"/>
        <v/>
      </c>
      <c r="H106" s="49"/>
      <c r="I106" s="57" t="str">
        <f>IF(H106="","",MID(VLOOKUP(H106,Codigo_Material!$A$2:$C$9999,2,0),1,30))</f>
        <v/>
      </c>
      <c r="J106" s="57"/>
      <c r="K106" s="54" t="str">
        <f>IF(H106="","",MID(VLOOKUP(H106,Codigo_Material!$A$2:$C$6426,3,0),1,25))</f>
        <v/>
      </c>
      <c r="L106" s="19"/>
      <c r="M106" s="20"/>
      <c r="N106" s="1"/>
      <c r="O106" s="2"/>
      <c r="P106" s="58"/>
      <c r="Q106" s="58"/>
      <c r="R106" s="58"/>
      <c r="S106" s="55"/>
      <c r="T106" s="36"/>
    </row>
    <row r="107" spans="1:20" s="37" customFormat="1" x14ac:dyDescent="0.25">
      <c r="A107" s="33"/>
      <c r="B107" s="54" t="str">
        <f t="shared" si="5"/>
        <v>K4B6</v>
      </c>
      <c r="C107" s="56" t="str">
        <f t="shared" si="6"/>
        <v>OBRA</v>
      </c>
      <c r="D107" s="56"/>
      <c r="E107" s="54" t="str">
        <f t="shared" si="7"/>
        <v/>
      </c>
      <c r="F107" s="22" t="str">
        <f t="shared" si="8"/>
        <v/>
      </c>
      <c r="G107" s="22" t="str">
        <f t="shared" si="9"/>
        <v/>
      </c>
      <c r="H107" s="49"/>
      <c r="I107" s="57" t="str">
        <f>IF(H107="","",MID(VLOOKUP(H107,Codigo_Material!$A$2:$C$9999,2,0),1,30))</f>
        <v/>
      </c>
      <c r="J107" s="57"/>
      <c r="K107" s="54" t="str">
        <f>IF(H107="","",MID(VLOOKUP(H107,Codigo_Material!$A$2:$C$6426,3,0),1,25))</f>
        <v/>
      </c>
      <c r="L107" s="19"/>
      <c r="M107" s="20"/>
      <c r="N107" s="1"/>
      <c r="O107" s="2"/>
      <c r="P107" s="58"/>
      <c r="Q107" s="58"/>
      <c r="R107" s="58"/>
      <c r="S107" s="55"/>
      <c r="T107" s="36"/>
    </row>
    <row r="108" spans="1:20" s="37" customFormat="1" x14ac:dyDescent="0.25">
      <c r="A108" s="33"/>
      <c r="B108" s="54" t="str">
        <f t="shared" si="5"/>
        <v>K4B6</v>
      </c>
      <c r="C108" s="56" t="str">
        <f t="shared" si="6"/>
        <v>OBRA</v>
      </c>
      <c r="D108" s="56"/>
      <c r="E108" s="54" t="str">
        <f t="shared" si="7"/>
        <v/>
      </c>
      <c r="F108" s="22" t="str">
        <f t="shared" si="8"/>
        <v/>
      </c>
      <c r="G108" s="22" t="str">
        <f t="shared" si="9"/>
        <v/>
      </c>
      <c r="H108" s="49"/>
      <c r="I108" s="57" t="str">
        <f>IF(H108="","",MID(VLOOKUP(H108,Codigo_Material!$A$2:$C$9999,2,0),1,30))</f>
        <v/>
      </c>
      <c r="J108" s="57"/>
      <c r="K108" s="54" t="str">
        <f>IF(H108="","",MID(VLOOKUP(H108,Codigo_Material!$A$2:$C$6426,3,0),1,25))</f>
        <v/>
      </c>
      <c r="L108" s="19"/>
      <c r="M108" s="20"/>
      <c r="N108" s="1"/>
      <c r="O108" s="2"/>
      <c r="P108" s="58"/>
      <c r="Q108" s="58"/>
      <c r="R108" s="58"/>
      <c r="S108" s="55"/>
      <c r="T108" s="36"/>
    </row>
    <row r="109" spans="1:20" s="37" customFormat="1" x14ac:dyDescent="0.25">
      <c r="A109" s="33"/>
      <c r="B109" s="54" t="str">
        <f t="shared" si="5"/>
        <v>K4B6</v>
      </c>
      <c r="C109" s="56" t="str">
        <f t="shared" si="6"/>
        <v>OBRA</v>
      </c>
      <c r="D109" s="56"/>
      <c r="E109" s="54" t="str">
        <f t="shared" si="7"/>
        <v/>
      </c>
      <c r="F109" s="22" t="str">
        <f t="shared" si="8"/>
        <v/>
      </c>
      <c r="G109" s="22" t="str">
        <f t="shared" si="9"/>
        <v/>
      </c>
      <c r="H109" s="49"/>
      <c r="I109" s="57" t="str">
        <f>IF(H109="","",MID(VLOOKUP(H109,Codigo_Material!$A$2:$C$9999,2,0),1,30))</f>
        <v/>
      </c>
      <c r="J109" s="57"/>
      <c r="K109" s="54" t="str">
        <f>IF(H109="","",MID(VLOOKUP(H109,Codigo_Material!$A$2:$C$6426,3,0),1,25))</f>
        <v/>
      </c>
      <c r="L109" s="19"/>
      <c r="M109" s="20"/>
      <c r="N109" s="1"/>
      <c r="O109" s="2"/>
      <c r="P109" s="58"/>
      <c r="Q109" s="58"/>
      <c r="R109" s="58"/>
      <c r="S109" s="55"/>
      <c r="T109" s="36"/>
    </row>
    <row r="110" spans="1:20" s="37" customFormat="1" x14ac:dyDescent="0.25">
      <c r="A110" s="33"/>
      <c r="B110" s="54" t="str">
        <f t="shared" si="5"/>
        <v>K4B6</v>
      </c>
      <c r="C110" s="56" t="str">
        <f t="shared" si="6"/>
        <v>OBRA</v>
      </c>
      <c r="D110" s="56"/>
      <c r="E110" s="54" t="str">
        <f t="shared" si="7"/>
        <v/>
      </c>
      <c r="F110" s="22" t="str">
        <f t="shared" si="8"/>
        <v/>
      </c>
      <c r="G110" s="22" t="str">
        <f t="shared" si="9"/>
        <v/>
      </c>
      <c r="H110" s="49"/>
      <c r="I110" s="57" t="str">
        <f>IF(H110="","",MID(VLOOKUP(H110,Codigo_Material!$A$2:$C$9999,2,0),1,30))</f>
        <v/>
      </c>
      <c r="J110" s="57"/>
      <c r="K110" s="54" t="str">
        <f>IF(H110="","",MID(VLOOKUP(H110,Codigo_Material!$A$2:$C$6426,3,0),1,25))</f>
        <v/>
      </c>
      <c r="L110" s="19"/>
      <c r="M110" s="20"/>
      <c r="N110" s="1"/>
      <c r="O110" s="2"/>
      <c r="P110" s="58"/>
      <c r="Q110" s="58"/>
      <c r="R110" s="58"/>
      <c r="S110" s="55"/>
      <c r="T110" s="36"/>
    </row>
    <row r="111" spans="1:20" s="37" customFormat="1" x14ac:dyDescent="0.25">
      <c r="A111" s="33"/>
      <c r="B111" s="54" t="str">
        <f t="shared" si="5"/>
        <v>K4B6</v>
      </c>
      <c r="C111" s="56" t="str">
        <f t="shared" si="6"/>
        <v>OBRA</v>
      </c>
      <c r="D111" s="56"/>
      <c r="E111" s="54" t="str">
        <f t="shared" si="7"/>
        <v/>
      </c>
      <c r="F111" s="22" t="str">
        <f t="shared" si="8"/>
        <v/>
      </c>
      <c r="G111" s="22" t="str">
        <f t="shared" si="9"/>
        <v/>
      </c>
      <c r="H111" s="49"/>
      <c r="I111" s="57" t="str">
        <f>IF(H111="","",MID(VLOOKUP(H111,Codigo_Material!$A$2:$C$9999,2,0),1,30))</f>
        <v/>
      </c>
      <c r="J111" s="57"/>
      <c r="K111" s="54" t="str">
        <f>IF(H111="","",MID(VLOOKUP(H111,Codigo_Material!$A$2:$C$6426,3,0),1,25))</f>
        <v/>
      </c>
      <c r="L111" s="19"/>
      <c r="M111" s="20"/>
      <c r="N111" s="1"/>
      <c r="O111" s="2"/>
      <c r="P111" s="58"/>
      <c r="Q111" s="58"/>
      <c r="R111" s="58"/>
      <c r="S111" s="55"/>
      <c r="T111" s="36"/>
    </row>
    <row r="112" spans="1:20" s="37" customFormat="1" x14ac:dyDescent="0.25">
      <c r="A112" s="33"/>
      <c r="B112" s="54" t="str">
        <f t="shared" si="5"/>
        <v>K4B6</v>
      </c>
      <c r="C112" s="56" t="str">
        <f t="shared" si="6"/>
        <v>OBRA</v>
      </c>
      <c r="D112" s="56"/>
      <c r="E112" s="54" t="str">
        <f t="shared" si="7"/>
        <v/>
      </c>
      <c r="F112" s="22" t="str">
        <f t="shared" si="8"/>
        <v/>
      </c>
      <c r="G112" s="22" t="str">
        <f t="shared" si="9"/>
        <v/>
      </c>
      <c r="H112" s="49"/>
      <c r="I112" s="57" t="str">
        <f>IF(H112="","",MID(VLOOKUP(H112,Codigo_Material!$A$2:$C$9999,2,0),1,30))</f>
        <v/>
      </c>
      <c r="J112" s="57"/>
      <c r="K112" s="54" t="str">
        <f>IF(H112="","",MID(VLOOKUP(H112,Codigo_Material!$A$2:$C$6426,3,0),1,25))</f>
        <v/>
      </c>
      <c r="L112" s="19"/>
      <c r="M112" s="20"/>
      <c r="N112" s="1"/>
      <c r="O112" s="2"/>
      <c r="P112" s="58"/>
      <c r="Q112" s="58"/>
      <c r="R112" s="58"/>
      <c r="S112" s="55"/>
      <c r="T112" s="36"/>
    </row>
    <row r="113" spans="1:20" s="37" customFormat="1" x14ac:dyDescent="0.25">
      <c r="A113" s="33"/>
      <c r="B113" s="54" t="str">
        <f t="shared" si="5"/>
        <v>K4B6</v>
      </c>
      <c r="C113" s="56" t="str">
        <f t="shared" si="6"/>
        <v>OBRA</v>
      </c>
      <c r="D113" s="56"/>
      <c r="E113" s="54" t="str">
        <f t="shared" si="7"/>
        <v/>
      </c>
      <c r="F113" s="22" t="str">
        <f t="shared" si="8"/>
        <v/>
      </c>
      <c r="G113" s="22" t="str">
        <f t="shared" si="9"/>
        <v/>
      </c>
      <c r="H113" s="49"/>
      <c r="I113" s="57" t="str">
        <f>IF(H113="","",MID(VLOOKUP(H113,Codigo_Material!$A$2:$C$9999,2,0),1,30))</f>
        <v/>
      </c>
      <c r="J113" s="57"/>
      <c r="K113" s="54" t="str">
        <f>IF(H113="","",MID(VLOOKUP(H113,Codigo_Material!$A$2:$C$6426,3,0),1,25))</f>
        <v/>
      </c>
      <c r="L113" s="19"/>
      <c r="M113" s="20"/>
      <c r="N113" s="1"/>
      <c r="O113" s="2"/>
      <c r="P113" s="58"/>
      <c r="Q113" s="58"/>
      <c r="R113" s="58"/>
      <c r="S113" s="55"/>
      <c r="T113" s="36"/>
    </row>
    <row r="114" spans="1:20" s="37" customFormat="1" x14ac:dyDescent="0.25">
      <c r="A114" s="33"/>
      <c r="B114" s="54" t="str">
        <f t="shared" si="5"/>
        <v>K4B6</v>
      </c>
      <c r="C114" s="56" t="str">
        <f t="shared" si="6"/>
        <v>OBRA</v>
      </c>
      <c r="D114" s="56"/>
      <c r="E114" s="54" t="str">
        <f t="shared" si="7"/>
        <v/>
      </c>
      <c r="F114" s="22" t="str">
        <f t="shared" si="8"/>
        <v/>
      </c>
      <c r="G114" s="22" t="str">
        <f t="shared" si="9"/>
        <v/>
      </c>
      <c r="H114" s="49"/>
      <c r="I114" s="57" t="str">
        <f>IF(H114="","",MID(VLOOKUP(H114,Codigo_Material!$A$2:$C$9999,2,0),1,30))</f>
        <v/>
      </c>
      <c r="J114" s="57"/>
      <c r="K114" s="54" t="str">
        <f>IF(H114="","",MID(VLOOKUP(H114,Codigo_Material!$A$2:$C$6426,3,0),1,25))</f>
        <v/>
      </c>
      <c r="L114" s="19"/>
      <c r="M114" s="20"/>
      <c r="N114" s="1"/>
      <c r="O114" s="2"/>
      <c r="P114" s="58"/>
      <c r="Q114" s="58"/>
      <c r="R114" s="58"/>
      <c r="S114" s="55"/>
      <c r="T114" s="36"/>
    </row>
    <row r="115" spans="1:20" s="37" customFormat="1" x14ac:dyDescent="0.25">
      <c r="A115" s="33"/>
      <c r="B115" s="54" t="str">
        <f t="shared" si="5"/>
        <v>K4B6</v>
      </c>
      <c r="C115" s="56" t="str">
        <f t="shared" si="6"/>
        <v>OBRA</v>
      </c>
      <c r="D115" s="56"/>
      <c r="E115" s="54" t="str">
        <f t="shared" si="7"/>
        <v/>
      </c>
      <c r="F115" s="22" t="str">
        <f t="shared" si="8"/>
        <v/>
      </c>
      <c r="G115" s="22" t="str">
        <f t="shared" si="9"/>
        <v/>
      </c>
      <c r="H115" s="49"/>
      <c r="I115" s="57" t="str">
        <f>IF(H115="","",MID(VLOOKUP(H115,Codigo_Material!$A$2:$C$9999,2,0),1,30))</f>
        <v/>
      </c>
      <c r="J115" s="57"/>
      <c r="K115" s="54" t="str">
        <f>IF(H115="","",MID(VLOOKUP(H115,Codigo_Material!$A$2:$C$6426,3,0),1,25))</f>
        <v/>
      </c>
      <c r="L115" s="19"/>
      <c r="M115" s="20"/>
      <c r="N115" s="1"/>
      <c r="O115" s="2"/>
      <c r="P115" s="58"/>
      <c r="Q115" s="58"/>
      <c r="R115" s="58"/>
      <c r="S115" s="55"/>
      <c r="T115" s="36"/>
    </row>
    <row r="116" spans="1:20" s="37" customFormat="1" x14ac:dyDescent="0.25">
      <c r="A116" s="33"/>
      <c r="B116" s="54" t="str">
        <f t="shared" si="5"/>
        <v>K4B6</v>
      </c>
      <c r="C116" s="56" t="str">
        <f t="shared" si="6"/>
        <v>OBRA</v>
      </c>
      <c r="D116" s="56"/>
      <c r="E116" s="54" t="str">
        <f t="shared" si="7"/>
        <v/>
      </c>
      <c r="F116" s="22" t="str">
        <f t="shared" si="8"/>
        <v/>
      </c>
      <c r="G116" s="22" t="str">
        <f t="shared" si="9"/>
        <v/>
      </c>
      <c r="H116" s="49"/>
      <c r="I116" s="57" t="str">
        <f>IF(H116="","",MID(VLOOKUP(H116,Codigo_Material!$A$2:$C$9999,2,0),1,30))</f>
        <v/>
      </c>
      <c r="J116" s="57"/>
      <c r="K116" s="54" t="str">
        <f>IF(H116="","",MID(VLOOKUP(H116,Codigo_Material!$A$2:$C$6426,3,0),1,25))</f>
        <v/>
      </c>
      <c r="L116" s="19"/>
      <c r="M116" s="20"/>
      <c r="N116" s="1"/>
      <c r="O116" s="2"/>
      <c r="P116" s="58"/>
      <c r="Q116" s="58"/>
      <c r="R116" s="58"/>
      <c r="S116" s="55"/>
      <c r="T116" s="36"/>
    </row>
    <row r="117" spans="1:20" s="37" customFormat="1" x14ac:dyDescent="0.25">
      <c r="A117" s="33"/>
      <c r="B117" s="54" t="str">
        <f t="shared" si="5"/>
        <v>K4B6</v>
      </c>
      <c r="C117" s="56" t="str">
        <f t="shared" si="6"/>
        <v>OBRA</v>
      </c>
      <c r="D117" s="56"/>
      <c r="E117" s="54" t="str">
        <f t="shared" si="7"/>
        <v/>
      </c>
      <c r="F117" s="22" t="str">
        <f t="shared" si="8"/>
        <v/>
      </c>
      <c r="G117" s="22" t="str">
        <f t="shared" si="9"/>
        <v/>
      </c>
      <c r="H117" s="49"/>
      <c r="I117" s="57" t="str">
        <f>IF(H117="","",MID(VLOOKUP(H117,Codigo_Material!$A$2:$C$9999,2,0),1,30))</f>
        <v/>
      </c>
      <c r="J117" s="57"/>
      <c r="K117" s="54" t="str">
        <f>IF(H117="","",MID(VLOOKUP(H117,Codigo_Material!$A$2:$C$6426,3,0),1,25))</f>
        <v/>
      </c>
      <c r="L117" s="19"/>
      <c r="M117" s="20"/>
      <c r="N117" s="1"/>
      <c r="O117" s="2"/>
      <c r="P117" s="58"/>
      <c r="Q117" s="58"/>
      <c r="R117" s="58"/>
      <c r="S117" s="55"/>
      <c r="T117" s="36"/>
    </row>
    <row r="118" spans="1:20" s="37" customFormat="1" x14ac:dyDescent="0.25">
      <c r="A118" s="33"/>
      <c r="B118" s="54" t="str">
        <f t="shared" si="5"/>
        <v>K4B6</v>
      </c>
      <c r="C118" s="56" t="str">
        <f t="shared" si="6"/>
        <v>OBRA</v>
      </c>
      <c r="D118" s="56"/>
      <c r="E118" s="54" t="str">
        <f t="shared" si="7"/>
        <v/>
      </c>
      <c r="F118" s="22" t="str">
        <f t="shared" si="8"/>
        <v/>
      </c>
      <c r="G118" s="22" t="str">
        <f t="shared" si="9"/>
        <v/>
      </c>
      <c r="H118" s="49"/>
      <c r="I118" s="57" t="str">
        <f>IF(H118="","",MID(VLOOKUP(H118,Codigo_Material!$A$2:$C$9999,2,0),1,30))</f>
        <v/>
      </c>
      <c r="J118" s="57"/>
      <c r="K118" s="54" t="str">
        <f>IF(H118="","",MID(VLOOKUP(H118,Codigo_Material!$A$2:$C$6426,3,0),1,25))</f>
        <v/>
      </c>
      <c r="L118" s="19"/>
      <c r="M118" s="20"/>
      <c r="N118" s="1"/>
      <c r="O118" s="2"/>
      <c r="P118" s="58"/>
      <c r="Q118" s="58"/>
      <c r="R118" s="58"/>
      <c r="S118" s="55"/>
      <c r="T118" s="36"/>
    </row>
    <row r="119" spans="1:20" s="37" customFormat="1" x14ac:dyDescent="0.25">
      <c r="A119" s="33"/>
      <c r="B119" s="54" t="str">
        <f t="shared" si="5"/>
        <v>K4B6</v>
      </c>
      <c r="C119" s="56" t="str">
        <f t="shared" si="6"/>
        <v>OBRA</v>
      </c>
      <c r="D119" s="56"/>
      <c r="E119" s="54" t="str">
        <f t="shared" si="7"/>
        <v/>
      </c>
      <c r="F119" s="22" t="str">
        <f t="shared" si="8"/>
        <v/>
      </c>
      <c r="G119" s="22" t="str">
        <f t="shared" si="9"/>
        <v/>
      </c>
      <c r="H119" s="49"/>
      <c r="I119" s="57" t="str">
        <f>IF(H119="","",MID(VLOOKUP(H119,Codigo_Material!$A$2:$C$9999,2,0),1,30))</f>
        <v/>
      </c>
      <c r="J119" s="57"/>
      <c r="K119" s="54" t="str">
        <f>IF(H119="","",MID(VLOOKUP(H119,Codigo_Material!$A$2:$C$6426,3,0),1,25))</f>
        <v/>
      </c>
      <c r="L119" s="19"/>
      <c r="M119" s="20"/>
      <c r="N119" s="1"/>
      <c r="O119" s="2"/>
      <c r="P119" s="58"/>
      <c r="Q119" s="58"/>
      <c r="R119" s="58"/>
      <c r="S119" s="55"/>
      <c r="T119" s="36"/>
    </row>
    <row r="120" spans="1:20" s="37" customFormat="1" x14ac:dyDescent="0.25">
      <c r="A120" s="33"/>
      <c r="B120" s="54" t="str">
        <f t="shared" si="5"/>
        <v>K4B6</v>
      </c>
      <c r="C120" s="56" t="str">
        <f t="shared" si="6"/>
        <v>OBRA</v>
      </c>
      <c r="D120" s="56"/>
      <c r="E120" s="54" t="str">
        <f t="shared" si="7"/>
        <v/>
      </c>
      <c r="F120" s="22" t="str">
        <f t="shared" si="8"/>
        <v/>
      </c>
      <c r="G120" s="22" t="str">
        <f t="shared" si="9"/>
        <v/>
      </c>
      <c r="H120" s="49"/>
      <c r="I120" s="57" t="str">
        <f>IF(H120="","",MID(VLOOKUP(H120,Codigo_Material!$A$2:$C$9999,2,0),1,30))</f>
        <v/>
      </c>
      <c r="J120" s="57"/>
      <c r="K120" s="54" t="str">
        <f>IF(H120="","",MID(VLOOKUP(H120,Codigo_Material!$A$2:$C$6426,3,0),1,25))</f>
        <v/>
      </c>
      <c r="L120" s="19"/>
      <c r="M120" s="20"/>
      <c r="N120" s="1"/>
      <c r="O120" s="2"/>
      <c r="P120" s="58"/>
      <c r="Q120" s="58"/>
      <c r="R120" s="58"/>
      <c r="S120" s="55"/>
      <c r="T120" s="36"/>
    </row>
    <row r="121" spans="1:20" s="37" customFormat="1" x14ac:dyDescent="0.25">
      <c r="A121" s="33"/>
      <c r="B121" s="54" t="str">
        <f t="shared" si="5"/>
        <v>K4B6</v>
      </c>
      <c r="C121" s="56" t="str">
        <f t="shared" si="6"/>
        <v>OBRA</v>
      </c>
      <c r="D121" s="56"/>
      <c r="E121" s="54" t="str">
        <f t="shared" si="7"/>
        <v/>
      </c>
      <c r="F121" s="22" t="str">
        <f t="shared" si="8"/>
        <v/>
      </c>
      <c r="G121" s="22" t="str">
        <f t="shared" si="9"/>
        <v/>
      </c>
      <c r="H121" s="49"/>
      <c r="I121" s="57" t="str">
        <f>IF(H121="","",MID(VLOOKUP(H121,Codigo_Material!$A$2:$C$9999,2,0),1,30))</f>
        <v/>
      </c>
      <c r="J121" s="57"/>
      <c r="K121" s="54" t="str">
        <f>IF(H121="","",MID(VLOOKUP(H121,Codigo_Material!$A$2:$C$6426,3,0),1,25))</f>
        <v/>
      </c>
      <c r="L121" s="19"/>
      <c r="M121" s="20"/>
      <c r="N121" s="1"/>
      <c r="O121" s="2"/>
      <c r="P121" s="58"/>
      <c r="Q121" s="58"/>
      <c r="R121" s="58"/>
      <c r="S121" s="55"/>
      <c r="T121" s="36"/>
    </row>
    <row r="122" spans="1:20" s="37" customFormat="1" x14ac:dyDescent="0.25">
      <c r="A122" s="33"/>
      <c r="B122" s="54" t="str">
        <f t="shared" si="5"/>
        <v>K4B6</v>
      </c>
      <c r="C122" s="56" t="str">
        <f t="shared" si="6"/>
        <v>OBRA</v>
      </c>
      <c r="D122" s="56"/>
      <c r="E122" s="54" t="str">
        <f t="shared" si="7"/>
        <v/>
      </c>
      <c r="F122" s="22" t="str">
        <f t="shared" si="8"/>
        <v/>
      </c>
      <c r="G122" s="22" t="str">
        <f t="shared" si="9"/>
        <v/>
      </c>
      <c r="H122" s="49"/>
      <c r="I122" s="57" t="str">
        <f>IF(H122="","",MID(VLOOKUP(H122,Codigo_Material!$A$2:$C$9999,2,0),1,30))</f>
        <v/>
      </c>
      <c r="J122" s="57"/>
      <c r="K122" s="54" t="str">
        <f>IF(H122="","",MID(VLOOKUP(H122,Codigo_Material!$A$2:$C$6426,3,0),1,25))</f>
        <v/>
      </c>
      <c r="L122" s="19"/>
      <c r="M122" s="20"/>
      <c r="N122" s="1"/>
      <c r="O122" s="2"/>
      <c r="P122" s="58"/>
      <c r="Q122" s="58"/>
      <c r="R122" s="58"/>
      <c r="S122" s="55"/>
      <c r="T122" s="36"/>
    </row>
    <row r="123" spans="1:20" s="37" customFormat="1" x14ac:dyDescent="0.25">
      <c r="A123" s="33"/>
      <c r="B123" s="54" t="str">
        <f t="shared" si="5"/>
        <v>K4B6</v>
      </c>
      <c r="C123" s="56" t="str">
        <f t="shared" si="6"/>
        <v>OBRA</v>
      </c>
      <c r="D123" s="56"/>
      <c r="E123" s="54" t="str">
        <f t="shared" si="7"/>
        <v/>
      </c>
      <c r="F123" s="22" t="str">
        <f t="shared" si="8"/>
        <v/>
      </c>
      <c r="G123" s="22" t="str">
        <f t="shared" si="9"/>
        <v/>
      </c>
      <c r="H123" s="49"/>
      <c r="I123" s="57" t="str">
        <f>IF(H123="","",MID(VLOOKUP(H123,Codigo_Material!$A$2:$C$9999,2,0),1,30))</f>
        <v/>
      </c>
      <c r="J123" s="57"/>
      <c r="K123" s="54" t="str">
        <f>IF(H123="","",MID(VLOOKUP(H123,Codigo_Material!$A$2:$C$6426,3,0),1,25))</f>
        <v/>
      </c>
      <c r="L123" s="19"/>
      <c r="M123" s="20"/>
      <c r="N123" s="1"/>
      <c r="O123" s="2"/>
      <c r="P123" s="58"/>
      <c r="Q123" s="58"/>
      <c r="R123" s="58"/>
      <c r="S123" s="55"/>
      <c r="T123" s="36"/>
    </row>
    <row r="124" spans="1:20" s="37" customFormat="1" x14ac:dyDescent="0.25">
      <c r="A124" s="33"/>
      <c r="B124" s="54" t="str">
        <f t="shared" si="5"/>
        <v>K4B6</v>
      </c>
      <c r="C124" s="56" t="str">
        <f t="shared" si="6"/>
        <v>OBRA</v>
      </c>
      <c r="D124" s="56"/>
      <c r="E124" s="54" t="str">
        <f t="shared" si="7"/>
        <v/>
      </c>
      <c r="F124" s="22" t="str">
        <f t="shared" si="8"/>
        <v/>
      </c>
      <c r="G124" s="22" t="str">
        <f t="shared" si="9"/>
        <v/>
      </c>
      <c r="H124" s="49"/>
      <c r="I124" s="57" t="str">
        <f>IF(H124="","",MID(VLOOKUP(H124,Codigo_Material!$A$2:$C$9999,2,0),1,30))</f>
        <v/>
      </c>
      <c r="J124" s="57"/>
      <c r="K124" s="54" t="str">
        <f>IF(H124="","",MID(VLOOKUP(H124,Codigo_Material!$A$2:$C$6426,3,0),1,25))</f>
        <v/>
      </c>
      <c r="L124" s="19"/>
      <c r="M124" s="20"/>
      <c r="N124" s="1"/>
      <c r="O124" s="2"/>
      <c r="P124" s="58"/>
      <c r="Q124" s="58"/>
      <c r="R124" s="58"/>
      <c r="S124" s="55"/>
      <c r="T124" s="36"/>
    </row>
    <row r="125" spans="1:20" s="37" customFormat="1" x14ac:dyDescent="0.25">
      <c r="A125" s="33"/>
      <c r="B125" s="54" t="str">
        <f t="shared" si="5"/>
        <v>K4B6</v>
      </c>
      <c r="C125" s="56" t="str">
        <f t="shared" si="6"/>
        <v>OBRA</v>
      </c>
      <c r="D125" s="56"/>
      <c r="E125" s="54" t="str">
        <f t="shared" si="7"/>
        <v/>
      </c>
      <c r="F125" s="22" t="str">
        <f t="shared" si="8"/>
        <v/>
      </c>
      <c r="G125" s="22" t="str">
        <f t="shared" si="9"/>
        <v/>
      </c>
      <c r="H125" s="49"/>
      <c r="I125" s="57" t="str">
        <f>IF(H125="","",MID(VLOOKUP(H125,Codigo_Material!$A$2:$C$9999,2,0),1,30))</f>
        <v/>
      </c>
      <c r="J125" s="57"/>
      <c r="K125" s="54" t="str">
        <f>IF(H125="","",MID(VLOOKUP(H125,Codigo_Material!$A$2:$C$6426,3,0),1,25))</f>
        <v/>
      </c>
      <c r="L125" s="19"/>
      <c r="M125" s="20"/>
      <c r="N125" s="1"/>
      <c r="O125" s="2"/>
      <c r="P125" s="58"/>
      <c r="Q125" s="58"/>
      <c r="R125" s="58"/>
      <c r="S125" s="55"/>
      <c r="T125" s="36"/>
    </row>
    <row r="126" spans="1:20" s="37" customFormat="1" x14ac:dyDescent="0.25">
      <c r="A126" s="33"/>
      <c r="B126" s="54" t="str">
        <f t="shared" si="5"/>
        <v>K4B6</v>
      </c>
      <c r="C126" s="56" t="str">
        <f t="shared" si="6"/>
        <v>OBRA</v>
      </c>
      <c r="D126" s="56"/>
      <c r="E126" s="54" t="str">
        <f t="shared" si="7"/>
        <v/>
      </c>
      <c r="F126" s="22" t="str">
        <f t="shared" si="8"/>
        <v/>
      </c>
      <c r="G126" s="22" t="str">
        <f t="shared" si="9"/>
        <v/>
      </c>
      <c r="H126" s="49"/>
      <c r="I126" s="57" t="str">
        <f>IF(H126="","",MID(VLOOKUP(H126,Codigo_Material!$A$2:$C$9999,2,0),1,30))</f>
        <v/>
      </c>
      <c r="J126" s="57"/>
      <c r="K126" s="54" t="str">
        <f>IF(H126="","",MID(VLOOKUP(H126,Codigo_Material!$A$2:$C$6426,3,0),1,25))</f>
        <v/>
      </c>
      <c r="L126" s="19"/>
      <c r="M126" s="20"/>
      <c r="N126" s="1"/>
      <c r="O126" s="2"/>
      <c r="P126" s="58"/>
      <c r="Q126" s="58"/>
      <c r="R126" s="58"/>
      <c r="S126" s="55"/>
      <c r="T126" s="36"/>
    </row>
    <row r="127" spans="1:20" s="37" customFormat="1" x14ac:dyDescent="0.25">
      <c r="A127" s="33"/>
      <c r="B127" s="54" t="str">
        <f t="shared" si="5"/>
        <v>K4B6</v>
      </c>
      <c r="C127" s="56" t="str">
        <f t="shared" si="6"/>
        <v>OBRA</v>
      </c>
      <c r="D127" s="56"/>
      <c r="E127" s="54" t="str">
        <f t="shared" si="7"/>
        <v/>
      </c>
      <c r="F127" s="22" t="str">
        <f t="shared" si="8"/>
        <v/>
      </c>
      <c r="G127" s="22" t="str">
        <f t="shared" si="9"/>
        <v/>
      </c>
      <c r="H127" s="49"/>
      <c r="I127" s="57" t="str">
        <f>IF(H127="","",MID(VLOOKUP(H127,Codigo_Material!$A$2:$C$9999,2,0),1,30))</f>
        <v/>
      </c>
      <c r="J127" s="57"/>
      <c r="K127" s="54" t="str">
        <f>IF(H127="","",MID(VLOOKUP(H127,Codigo_Material!$A$2:$C$6426,3,0),1,25))</f>
        <v/>
      </c>
      <c r="L127" s="19"/>
      <c r="M127" s="20"/>
      <c r="N127" s="1"/>
      <c r="O127" s="2"/>
      <c r="P127" s="58"/>
      <c r="Q127" s="58"/>
      <c r="R127" s="58"/>
      <c r="S127" s="55"/>
      <c r="T127" s="36"/>
    </row>
    <row r="128" spans="1:20" s="37" customFormat="1" x14ac:dyDescent="0.25">
      <c r="A128" s="33"/>
      <c r="B128" s="54" t="str">
        <f t="shared" si="5"/>
        <v>K4B6</v>
      </c>
      <c r="C128" s="56" t="str">
        <f t="shared" si="6"/>
        <v>OBRA</v>
      </c>
      <c r="D128" s="56"/>
      <c r="E128" s="54" t="str">
        <f t="shared" si="7"/>
        <v/>
      </c>
      <c r="F128" s="22" t="str">
        <f t="shared" si="8"/>
        <v/>
      </c>
      <c r="G128" s="22" t="str">
        <f t="shared" si="9"/>
        <v/>
      </c>
      <c r="H128" s="49"/>
      <c r="I128" s="57" t="str">
        <f>IF(H128="","",MID(VLOOKUP(H128,Codigo_Material!$A$2:$C$9999,2,0),1,30))</f>
        <v/>
      </c>
      <c r="J128" s="57"/>
      <c r="K128" s="54" t="str">
        <f>IF(H128="","",MID(VLOOKUP(H128,Codigo_Material!$A$2:$C$6426,3,0),1,25))</f>
        <v/>
      </c>
      <c r="L128" s="19"/>
      <c r="M128" s="20"/>
      <c r="N128" s="1"/>
      <c r="O128" s="2"/>
      <c r="P128" s="58"/>
      <c r="Q128" s="58"/>
      <c r="R128" s="58"/>
      <c r="S128" s="55"/>
      <c r="T128" s="36"/>
    </row>
    <row r="129" spans="1:20" s="37" customFormat="1" x14ac:dyDescent="0.25">
      <c r="A129" s="33"/>
      <c r="B129" s="54" t="str">
        <f t="shared" si="5"/>
        <v>K4B6</v>
      </c>
      <c r="C129" s="56" t="str">
        <f t="shared" si="6"/>
        <v>OBRA</v>
      </c>
      <c r="D129" s="56"/>
      <c r="E129" s="54" t="str">
        <f t="shared" si="7"/>
        <v/>
      </c>
      <c r="F129" s="22" t="str">
        <f t="shared" si="8"/>
        <v/>
      </c>
      <c r="G129" s="22" t="str">
        <f t="shared" si="9"/>
        <v/>
      </c>
      <c r="H129" s="49"/>
      <c r="I129" s="57" t="str">
        <f>IF(H129="","",MID(VLOOKUP(H129,Codigo_Material!$A$2:$C$9999,2,0),1,30))</f>
        <v/>
      </c>
      <c r="J129" s="57"/>
      <c r="K129" s="54" t="str">
        <f>IF(H129="","",MID(VLOOKUP(H129,Codigo_Material!$A$2:$C$6426,3,0),1,25))</f>
        <v/>
      </c>
      <c r="L129" s="19"/>
      <c r="M129" s="20"/>
      <c r="N129" s="1"/>
      <c r="O129" s="2"/>
      <c r="P129" s="58"/>
      <c r="Q129" s="58"/>
      <c r="R129" s="58"/>
      <c r="S129" s="55"/>
      <c r="T129" s="36"/>
    </row>
    <row r="130" spans="1:20" s="37" customFormat="1" x14ac:dyDescent="0.25">
      <c r="A130" s="33"/>
      <c r="B130" s="54" t="str">
        <f t="shared" si="5"/>
        <v>K4B6</v>
      </c>
      <c r="C130" s="56" t="str">
        <f t="shared" si="6"/>
        <v>OBRA</v>
      </c>
      <c r="D130" s="56"/>
      <c r="E130" s="54" t="str">
        <f t="shared" si="7"/>
        <v/>
      </c>
      <c r="F130" s="22" t="str">
        <f t="shared" si="8"/>
        <v/>
      </c>
      <c r="G130" s="22" t="str">
        <f t="shared" si="9"/>
        <v/>
      </c>
      <c r="H130" s="49"/>
      <c r="I130" s="57" t="str">
        <f>IF(H130="","",MID(VLOOKUP(H130,Codigo_Material!$A$2:$C$9999,2,0),1,30))</f>
        <v/>
      </c>
      <c r="J130" s="57"/>
      <c r="K130" s="54" t="str">
        <f>IF(H130="","",MID(VLOOKUP(H130,Codigo_Material!$A$2:$C$6426,3,0),1,25))</f>
        <v/>
      </c>
      <c r="L130" s="19"/>
      <c r="M130" s="20"/>
      <c r="N130" s="1"/>
      <c r="O130" s="2"/>
      <c r="P130" s="58"/>
      <c r="Q130" s="58"/>
      <c r="R130" s="58"/>
      <c r="S130" s="55"/>
      <c r="T130" s="36"/>
    </row>
    <row r="131" spans="1:20" s="37" customFormat="1" x14ac:dyDescent="0.25">
      <c r="A131" s="33"/>
      <c r="B131" s="54" t="str">
        <f t="shared" si="5"/>
        <v>K4B6</v>
      </c>
      <c r="C131" s="56" t="str">
        <f t="shared" si="6"/>
        <v>OBRA</v>
      </c>
      <c r="D131" s="56"/>
      <c r="E131" s="54" t="str">
        <f t="shared" si="7"/>
        <v/>
      </c>
      <c r="F131" s="22" t="str">
        <f t="shared" si="8"/>
        <v/>
      </c>
      <c r="G131" s="22" t="str">
        <f t="shared" si="9"/>
        <v/>
      </c>
      <c r="H131" s="49"/>
      <c r="I131" s="57" t="str">
        <f>IF(H131="","",MID(VLOOKUP(H131,Codigo_Material!$A$2:$C$9999,2,0),1,30))</f>
        <v/>
      </c>
      <c r="J131" s="57"/>
      <c r="K131" s="54" t="str">
        <f>IF(H131="","",MID(VLOOKUP(H131,Codigo_Material!$A$2:$C$6426,3,0),1,25))</f>
        <v/>
      </c>
      <c r="L131" s="19"/>
      <c r="M131" s="20"/>
      <c r="N131" s="1"/>
      <c r="O131" s="2"/>
      <c r="P131" s="58"/>
      <c r="Q131" s="58"/>
      <c r="R131" s="58"/>
      <c r="S131" s="55"/>
      <c r="T131" s="36"/>
    </row>
    <row r="132" spans="1:20" s="37" customFormat="1" x14ac:dyDescent="0.25">
      <c r="A132" s="33"/>
      <c r="B132" s="54" t="str">
        <f t="shared" si="5"/>
        <v>K4B6</v>
      </c>
      <c r="C132" s="56" t="str">
        <f t="shared" si="6"/>
        <v>OBRA</v>
      </c>
      <c r="D132" s="56"/>
      <c r="E132" s="54" t="str">
        <f t="shared" si="7"/>
        <v/>
      </c>
      <c r="F132" s="22" t="str">
        <f t="shared" si="8"/>
        <v/>
      </c>
      <c r="G132" s="22" t="str">
        <f t="shared" si="9"/>
        <v/>
      </c>
      <c r="H132" s="49"/>
      <c r="I132" s="57" t="str">
        <f>IF(H132="","",MID(VLOOKUP(H132,Codigo_Material!$A$2:$C$9999,2,0),1,30))</f>
        <v/>
      </c>
      <c r="J132" s="57"/>
      <c r="K132" s="54" t="str">
        <f>IF(H132="","",MID(VLOOKUP(H132,Codigo_Material!$A$2:$C$6426,3,0),1,25))</f>
        <v/>
      </c>
      <c r="L132" s="19"/>
      <c r="M132" s="20"/>
      <c r="N132" s="1"/>
      <c r="O132" s="2"/>
      <c r="P132" s="58"/>
      <c r="Q132" s="58"/>
      <c r="R132" s="58"/>
      <c r="S132" s="55"/>
      <c r="T132" s="36"/>
    </row>
    <row r="133" spans="1:20" s="37" customFormat="1" x14ac:dyDescent="0.25">
      <c r="A133" s="33"/>
      <c r="B133" s="54" t="str">
        <f t="shared" si="5"/>
        <v>K4B6</v>
      </c>
      <c r="C133" s="56" t="str">
        <f t="shared" si="6"/>
        <v>OBRA</v>
      </c>
      <c r="D133" s="56"/>
      <c r="E133" s="54" t="str">
        <f t="shared" si="7"/>
        <v/>
      </c>
      <c r="F133" s="22" t="str">
        <f t="shared" si="8"/>
        <v/>
      </c>
      <c r="G133" s="22" t="str">
        <f t="shared" si="9"/>
        <v/>
      </c>
      <c r="H133" s="49"/>
      <c r="I133" s="57" t="str">
        <f>IF(H133="","",MID(VLOOKUP(H133,Codigo_Material!$A$2:$C$9999,2,0),1,30))</f>
        <v/>
      </c>
      <c r="J133" s="57"/>
      <c r="K133" s="54" t="str">
        <f>IF(H133="","",MID(VLOOKUP(H133,Codigo_Material!$A$2:$C$6426,3,0),1,25))</f>
        <v/>
      </c>
      <c r="L133" s="19"/>
      <c r="M133" s="20"/>
      <c r="N133" s="1"/>
      <c r="O133" s="2"/>
      <c r="P133" s="58"/>
      <c r="Q133" s="58"/>
      <c r="R133" s="58"/>
      <c r="S133" s="55"/>
      <c r="T133" s="36"/>
    </row>
    <row r="134" spans="1:20" s="37" customFormat="1" x14ac:dyDescent="0.25">
      <c r="A134" s="33"/>
      <c r="B134" s="54" t="str">
        <f t="shared" si="5"/>
        <v>K4B6</v>
      </c>
      <c r="C134" s="56" t="str">
        <f t="shared" si="6"/>
        <v>OBRA</v>
      </c>
      <c r="D134" s="56"/>
      <c r="E134" s="54" t="str">
        <f t="shared" si="7"/>
        <v/>
      </c>
      <c r="F134" s="22" t="str">
        <f t="shared" si="8"/>
        <v/>
      </c>
      <c r="G134" s="22" t="str">
        <f t="shared" si="9"/>
        <v/>
      </c>
      <c r="H134" s="49"/>
      <c r="I134" s="57" t="str">
        <f>IF(H134="","",MID(VLOOKUP(H134,Codigo_Material!$A$2:$C$9999,2,0),1,30))</f>
        <v/>
      </c>
      <c r="J134" s="57"/>
      <c r="K134" s="54" t="str">
        <f>IF(H134="","",MID(VLOOKUP(H134,Codigo_Material!$A$2:$C$6426,3,0),1,25))</f>
        <v/>
      </c>
      <c r="L134" s="19"/>
      <c r="M134" s="20"/>
      <c r="N134" s="1"/>
      <c r="O134" s="2"/>
      <c r="P134" s="58"/>
      <c r="Q134" s="58"/>
      <c r="R134" s="58"/>
      <c r="S134" s="55"/>
      <c r="T134" s="36"/>
    </row>
    <row r="135" spans="1:20" s="37" customFormat="1" x14ac:dyDescent="0.25">
      <c r="A135" s="33"/>
      <c r="B135" s="54" t="str">
        <f t="shared" si="5"/>
        <v>K4B6</v>
      </c>
      <c r="C135" s="56" t="str">
        <f t="shared" si="6"/>
        <v>OBRA</v>
      </c>
      <c r="D135" s="56"/>
      <c r="E135" s="54" t="str">
        <f t="shared" si="7"/>
        <v/>
      </c>
      <c r="F135" s="22" t="str">
        <f t="shared" si="8"/>
        <v/>
      </c>
      <c r="G135" s="22" t="str">
        <f t="shared" si="9"/>
        <v/>
      </c>
      <c r="H135" s="49"/>
      <c r="I135" s="57" t="str">
        <f>IF(H135="","",MID(VLOOKUP(H135,Codigo_Material!$A$2:$C$9999,2,0),1,30))</f>
        <v/>
      </c>
      <c r="J135" s="57"/>
      <c r="K135" s="54" t="str">
        <f>IF(H135="","",MID(VLOOKUP(H135,Codigo_Material!$A$2:$C$6426,3,0),1,25))</f>
        <v/>
      </c>
      <c r="L135" s="19"/>
      <c r="M135" s="20"/>
      <c r="N135" s="1"/>
      <c r="O135" s="2"/>
      <c r="P135" s="58"/>
      <c r="Q135" s="58"/>
      <c r="R135" s="58"/>
      <c r="S135" s="55"/>
      <c r="T135" s="36"/>
    </row>
    <row r="136" spans="1:20" s="37" customFormat="1" x14ac:dyDescent="0.25">
      <c r="A136" s="33"/>
      <c r="B136" s="54" t="str">
        <f t="shared" si="5"/>
        <v>K4B6</v>
      </c>
      <c r="C136" s="56" t="str">
        <f t="shared" si="6"/>
        <v>OBRA</v>
      </c>
      <c r="D136" s="56"/>
      <c r="E136" s="54" t="str">
        <f t="shared" si="7"/>
        <v/>
      </c>
      <c r="F136" s="22" t="str">
        <f t="shared" si="8"/>
        <v/>
      </c>
      <c r="G136" s="22" t="str">
        <f t="shared" si="9"/>
        <v/>
      </c>
      <c r="H136" s="49"/>
      <c r="I136" s="57" t="str">
        <f>IF(H136="","",MID(VLOOKUP(H136,Codigo_Material!$A$2:$C$9999,2,0),1,30))</f>
        <v/>
      </c>
      <c r="J136" s="57"/>
      <c r="K136" s="54" t="str">
        <f>IF(H136="","",MID(VLOOKUP(H136,Codigo_Material!$A$2:$C$6426,3,0),1,25))</f>
        <v/>
      </c>
      <c r="L136" s="19"/>
      <c r="M136" s="20"/>
      <c r="N136" s="1"/>
      <c r="O136" s="2"/>
      <c r="P136" s="58"/>
      <c r="Q136" s="58"/>
      <c r="R136" s="58"/>
      <c r="S136" s="55"/>
      <c r="T136" s="36"/>
    </row>
    <row r="137" spans="1:20" s="37" customFormat="1" x14ac:dyDescent="0.25">
      <c r="A137" s="33"/>
      <c r="B137" s="54" t="str">
        <f t="shared" si="5"/>
        <v>K4B6</v>
      </c>
      <c r="C137" s="56" t="str">
        <f t="shared" si="6"/>
        <v>OBRA</v>
      </c>
      <c r="D137" s="56"/>
      <c r="E137" s="54" t="str">
        <f t="shared" si="7"/>
        <v/>
      </c>
      <c r="F137" s="22" t="str">
        <f t="shared" si="8"/>
        <v/>
      </c>
      <c r="G137" s="22" t="str">
        <f t="shared" si="9"/>
        <v/>
      </c>
      <c r="H137" s="49"/>
      <c r="I137" s="57" t="str">
        <f>IF(H137="","",MID(VLOOKUP(H137,Codigo_Material!$A$2:$C$9999,2,0),1,30))</f>
        <v/>
      </c>
      <c r="J137" s="57"/>
      <c r="K137" s="54" t="str">
        <f>IF(H137="","",MID(VLOOKUP(H137,Codigo_Material!$A$2:$C$6426,3,0),1,25))</f>
        <v/>
      </c>
      <c r="L137" s="19"/>
      <c r="M137" s="20"/>
      <c r="N137" s="1"/>
      <c r="O137" s="2"/>
      <c r="P137" s="58"/>
      <c r="Q137" s="58"/>
      <c r="R137" s="58"/>
      <c r="S137" s="55"/>
      <c r="T137" s="36"/>
    </row>
    <row r="138" spans="1:20" s="37" customFormat="1" x14ac:dyDescent="0.25">
      <c r="A138" s="33"/>
      <c r="B138" s="54" t="str">
        <f t="shared" si="5"/>
        <v>K4B6</v>
      </c>
      <c r="C138" s="56" t="str">
        <f t="shared" si="6"/>
        <v>OBRA</v>
      </c>
      <c r="D138" s="56"/>
      <c r="E138" s="54" t="str">
        <f t="shared" si="7"/>
        <v/>
      </c>
      <c r="F138" s="22" t="str">
        <f t="shared" si="8"/>
        <v/>
      </c>
      <c r="G138" s="22" t="str">
        <f t="shared" si="9"/>
        <v/>
      </c>
      <c r="H138" s="49"/>
      <c r="I138" s="57" t="str">
        <f>IF(H138="","",MID(VLOOKUP(H138,Codigo_Material!$A$2:$C$9999,2,0),1,30))</f>
        <v/>
      </c>
      <c r="J138" s="57"/>
      <c r="K138" s="54" t="str">
        <f>IF(H138="","",MID(VLOOKUP(H138,Codigo_Material!$A$2:$C$6426,3,0),1,25))</f>
        <v/>
      </c>
      <c r="L138" s="19"/>
      <c r="M138" s="20"/>
      <c r="N138" s="1"/>
      <c r="O138" s="2"/>
      <c r="P138" s="58"/>
      <c r="Q138" s="58"/>
      <c r="R138" s="58"/>
      <c r="S138" s="55"/>
      <c r="T138" s="36"/>
    </row>
    <row r="139" spans="1:20" s="37" customFormat="1" x14ac:dyDescent="0.25">
      <c r="A139" s="33"/>
      <c r="B139" s="54" t="str">
        <f t="shared" ref="B139:B202" si="10">IF($D$5="","",$D$5)</f>
        <v>K4B6</v>
      </c>
      <c r="C139" s="56" t="str">
        <f t="shared" ref="C139:C202" si="11">IF($F$5="","",$F$5)</f>
        <v>OBRA</v>
      </c>
      <c r="D139" s="56"/>
      <c r="E139" s="54" t="str">
        <f t="shared" ref="E139:E202" si="12">IF($H$5="","",$H$5)</f>
        <v/>
      </c>
      <c r="F139" s="22" t="str">
        <f t="shared" ref="F139:F202" si="13">IF($P$7="","",$P$7)</f>
        <v/>
      </c>
      <c r="G139" s="22" t="str">
        <f t="shared" ref="G139:G202" si="14">IF($K$7="","",$K$7)</f>
        <v/>
      </c>
      <c r="H139" s="49"/>
      <c r="I139" s="57" t="str">
        <f>IF(H139="","",MID(VLOOKUP(H139,Codigo_Material!$A$2:$C$9999,2,0),1,30))</f>
        <v/>
      </c>
      <c r="J139" s="57"/>
      <c r="K139" s="54" t="str">
        <f>IF(H139="","",MID(VLOOKUP(H139,Codigo_Material!$A$2:$C$6426,3,0),1,25))</f>
        <v/>
      </c>
      <c r="L139" s="19"/>
      <c r="M139" s="20"/>
      <c r="N139" s="1"/>
      <c r="O139" s="2"/>
      <c r="P139" s="58"/>
      <c r="Q139" s="58"/>
      <c r="R139" s="58"/>
      <c r="S139" s="55"/>
      <c r="T139" s="36"/>
    </row>
    <row r="140" spans="1:20" s="37" customFormat="1" x14ac:dyDescent="0.25">
      <c r="A140" s="33"/>
      <c r="B140" s="54" t="str">
        <f t="shared" si="10"/>
        <v>K4B6</v>
      </c>
      <c r="C140" s="56" t="str">
        <f t="shared" si="11"/>
        <v>OBRA</v>
      </c>
      <c r="D140" s="56"/>
      <c r="E140" s="54" t="str">
        <f t="shared" si="12"/>
        <v/>
      </c>
      <c r="F140" s="22" t="str">
        <f t="shared" si="13"/>
        <v/>
      </c>
      <c r="G140" s="22" t="str">
        <f t="shared" si="14"/>
        <v/>
      </c>
      <c r="H140" s="49"/>
      <c r="I140" s="57" t="str">
        <f>IF(H140="","",MID(VLOOKUP(H140,Codigo_Material!$A$2:$C$9999,2,0),1,30))</f>
        <v/>
      </c>
      <c r="J140" s="57"/>
      <c r="K140" s="54" t="str">
        <f>IF(H140="","",MID(VLOOKUP(H140,Codigo_Material!$A$2:$C$6426,3,0),1,25))</f>
        <v/>
      </c>
      <c r="L140" s="19"/>
      <c r="M140" s="20"/>
      <c r="N140" s="1"/>
      <c r="O140" s="2"/>
      <c r="P140" s="58"/>
      <c r="Q140" s="58"/>
      <c r="R140" s="58"/>
      <c r="S140" s="55"/>
      <c r="T140" s="36"/>
    </row>
    <row r="141" spans="1:20" s="37" customFormat="1" x14ac:dyDescent="0.25">
      <c r="A141" s="33"/>
      <c r="B141" s="54" t="str">
        <f t="shared" si="10"/>
        <v>K4B6</v>
      </c>
      <c r="C141" s="56" t="str">
        <f t="shared" si="11"/>
        <v>OBRA</v>
      </c>
      <c r="D141" s="56"/>
      <c r="E141" s="54" t="str">
        <f t="shared" si="12"/>
        <v/>
      </c>
      <c r="F141" s="22" t="str">
        <f t="shared" si="13"/>
        <v/>
      </c>
      <c r="G141" s="22" t="str">
        <f t="shared" si="14"/>
        <v/>
      </c>
      <c r="H141" s="49"/>
      <c r="I141" s="57" t="str">
        <f>IF(H141="","",MID(VLOOKUP(H141,Codigo_Material!$A$2:$C$9999,2,0),1,30))</f>
        <v/>
      </c>
      <c r="J141" s="57"/>
      <c r="K141" s="54" t="str">
        <f>IF(H141="","",MID(VLOOKUP(H141,Codigo_Material!$A$2:$C$6426,3,0),1,25))</f>
        <v/>
      </c>
      <c r="L141" s="19"/>
      <c r="M141" s="20"/>
      <c r="N141" s="1"/>
      <c r="O141" s="2"/>
      <c r="P141" s="58"/>
      <c r="Q141" s="58"/>
      <c r="R141" s="58"/>
      <c r="S141" s="55"/>
      <c r="T141" s="36"/>
    </row>
    <row r="142" spans="1:20" s="37" customFormat="1" x14ac:dyDescent="0.25">
      <c r="A142" s="33"/>
      <c r="B142" s="54" t="str">
        <f t="shared" si="10"/>
        <v>K4B6</v>
      </c>
      <c r="C142" s="56" t="str">
        <f t="shared" si="11"/>
        <v>OBRA</v>
      </c>
      <c r="D142" s="56"/>
      <c r="E142" s="54" t="str">
        <f t="shared" si="12"/>
        <v/>
      </c>
      <c r="F142" s="22" t="str">
        <f t="shared" si="13"/>
        <v/>
      </c>
      <c r="G142" s="22" t="str">
        <f t="shared" si="14"/>
        <v/>
      </c>
      <c r="H142" s="49"/>
      <c r="I142" s="57" t="str">
        <f>IF(H142="","",MID(VLOOKUP(H142,Codigo_Material!$A$2:$C$9999,2,0),1,30))</f>
        <v/>
      </c>
      <c r="J142" s="57"/>
      <c r="K142" s="54" t="str">
        <f>IF(H142="","",MID(VLOOKUP(H142,Codigo_Material!$A$2:$C$6426,3,0),1,25))</f>
        <v/>
      </c>
      <c r="L142" s="19"/>
      <c r="M142" s="20"/>
      <c r="N142" s="1"/>
      <c r="O142" s="2"/>
      <c r="P142" s="58"/>
      <c r="Q142" s="58"/>
      <c r="R142" s="58"/>
      <c r="S142" s="55"/>
      <c r="T142" s="36"/>
    </row>
    <row r="143" spans="1:20" s="37" customFormat="1" x14ac:dyDescent="0.25">
      <c r="A143" s="33"/>
      <c r="B143" s="54" t="str">
        <f t="shared" si="10"/>
        <v>K4B6</v>
      </c>
      <c r="C143" s="56" t="str">
        <f t="shared" si="11"/>
        <v>OBRA</v>
      </c>
      <c r="D143" s="56"/>
      <c r="E143" s="54" t="str">
        <f t="shared" si="12"/>
        <v/>
      </c>
      <c r="F143" s="22" t="str">
        <f t="shared" si="13"/>
        <v/>
      </c>
      <c r="G143" s="22" t="str">
        <f t="shared" si="14"/>
        <v/>
      </c>
      <c r="H143" s="49"/>
      <c r="I143" s="57" t="str">
        <f>IF(H143="","",MID(VLOOKUP(H143,Codigo_Material!$A$2:$C$9999,2,0),1,30))</f>
        <v/>
      </c>
      <c r="J143" s="57"/>
      <c r="K143" s="54" t="str">
        <f>IF(H143="","",MID(VLOOKUP(H143,Codigo_Material!$A$2:$C$6426,3,0),1,25))</f>
        <v/>
      </c>
      <c r="L143" s="19"/>
      <c r="M143" s="20"/>
      <c r="N143" s="1"/>
      <c r="O143" s="2"/>
      <c r="P143" s="58"/>
      <c r="Q143" s="58"/>
      <c r="R143" s="58"/>
      <c r="S143" s="55"/>
      <c r="T143" s="36"/>
    </row>
    <row r="144" spans="1:20" s="37" customFormat="1" x14ac:dyDescent="0.25">
      <c r="A144" s="33"/>
      <c r="B144" s="54" t="str">
        <f t="shared" si="10"/>
        <v>K4B6</v>
      </c>
      <c r="C144" s="56" t="str">
        <f t="shared" si="11"/>
        <v>OBRA</v>
      </c>
      <c r="D144" s="56"/>
      <c r="E144" s="54" t="str">
        <f t="shared" si="12"/>
        <v/>
      </c>
      <c r="F144" s="22" t="str">
        <f t="shared" si="13"/>
        <v/>
      </c>
      <c r="G144" s="22" t="str">
        <f t="shared" si="14"/>
        <v/>
      </c>
      <c r="H144" s="49"/>
      <c r="I144" s="57" t="str">
        <f>IF(H144="","",MID(VLOOKUP(H144,Codigo_Material!$A$2:$C$9999,2,0),1,30))</f>
        <v/>
      </c>
      <c r="J144" s="57"/>
      <c r="K144" s="54" t="str">
        <f>IF(H144="","",MID(VLOOKUP(H144,Codigo_Material!$A$2:$C$6426,3,0),1,25))</f>
        <v/>
      </c>
      <c r="L144" s="19"/>
      <c r="M144" s="20"/>
      <c r="N144" s="1"/>
      <c r="O144" s="2"/>
      <c r="P144" s="58"/>
      <c r="Q144" s="58"/>
      <c r="R144" s="58"/>
      <c r="S144" s="55"/>
      <c r="T144" s="36"/>
    </row>
    <row r="145" spans="1:20" s="37" customFormat="1" x14ac:dyDescent="0.25">
      <c r="A145" s="33"/>
      <c r="B145" s="54" t="str">
        <f t="shared" si="10"/>
        <v>K4B6</v>
      </c>
      <c r="C145" s="56" t="str">
        <f t="shared" si="11"/>
        <v>OBRA</v>
      </c>
      <c r="D145" s="56"/>
      <c r="E145" s="54" t="str">
        <f t="shared" si="12"/>
        <v/>
      </c>
      <c r="F145" s="22" t="str">
        <f t="shared" si="13"/>
        <v/>
      </c>
      <c r="G145" s="22" t="str">
        <f t="shared" si="14"/>
        <v/>
      </c>
      <c r="H145" s="49"/>
      <c r="I145" s="57" t="str">
        <f>IF(H145="","",MID(VLOOKUP(H145,Codigo_Material!$A$2:$C$9999,2,0),1,30))</f>
        <v/>
      </c>
      <c r="J145" s="57"/>
      <c r="K145" s="54" t="str">
        <f>IF(H145="","",MID(VLOOKUP(H145,Codigo_Material!$A$2:$C$6426,3,0),1,25))</f>
        <v/>
      </c>
      <c r="L145" s="19"/>
      <c r="M145" s="20"/>
      <c r="N145" s="1"/>
      <c r="O145" s="2"/>
      <c r="P145" s="58"/>
      <c r="Q145" s="58"/>
      <c r="R145" s="58"/>
      <c r="S145" s="55"/>
      <c r="T145" s="36"/>
    </row>
    <row r="146" spans="1:20" s="37" customFormat="1" x14ac:dyDescent="0.25">
      <c r="A146" s="33"/>
      <c r="B146" s="54" t="str">
        <f t="shared" si="10"/>
        <v>K4B6</v>
      </c>
      <c r="C146" s="56" t="str">
        <f t="shared" si="11"/>
        <v>OBRA</v>
      </c>
      <c r="D146" s="56"/>
      <c r="E146" s="54" t="str">
        <f t="shared" si="12"/>
        <v/>
      </c>
      <c r="F146" s="22" t="str">
        <f t="shared" si="13"/>
        <v/>
      </c>
      <c r="G146" s="22" t="str">
        <f t="shared" si="14"/>
        <v/>
      </c>
      <c r="H146" s="49"/>
      <c r="I146" s="57" t="str">
        <f>IF(H146="","",MID(VLOOKUP(H146,Codigo_Material!$A$2:$C$9999,2,0),1,30))</f>
        <v/>
      </c>
      <c r="J146" s="57"/>
      <c r="K146" s="54" t="str">
        <f>IF(H146="","",MID(VLOOKUP(H146,Codigo_Material!$A$2:$C$6426,3,0),1,25))</f>
        <v/>
      </c>
      <c r="L146" s="19"/>
      <c r="M146" s="20"/>
      <c r="N146" s="1"/>
      <c r="O146" s="2"/>
      <c r="P146" s="58"/>
      <c r="Q146" s="58"/>
      <c r="R146" s="58"/>
      <c r="S146" s="55"/>
      <c r="T146" s="36"/>
    </row>
    <row r="147" spans="1:20" s="37" customFormat="1" x14ac:dyDescent="0.25">
      <c r="A147" s="33"/>
      <c r="B147" s="54" t="str">
        <f t="shared" si="10"/>
        <v>K4B6</v>
      </c>
      <c r="C147" s="56" t="str">
        <f t="shared" si="11"/>
        <v>OBRA</v>
      </c>
      <c r="D147" s="56"/>
      <c r="E147" s="54" t="str">
        <f t="shared" si="12"/>
        <v/>
      </c>
      <c r="F147" s="22" t="str">
        <f t="shared" si="13"/>
        <v/>
      </c>
      <c r="G147" s="22" t="str">
        <f t="shared" si="14"/>
        <v/>
      </c>
      <c r="H147" s="49"/>
      <c r="I147" s="57" t="str">
        <f>IF(H147="","",MID(VLOOKUP(H147,Codigo_Material!$A$2:$C$9999,2,0),1,30))</f>
        <v/>
      </c>
      <c r="J147" s="57"/>
      <c r="K147" s="54" t="str">
        <f>IF(H147="","",MID(VLOOKUP(H147,Codigo_Material!$A$2:$C$6426,3,0),1,25))</f>
        <v/>
      </c>
      <c r="L147" s="19"/>
      <c r="M147" s="20"/>
      <c r="N147" s="1"/>
      <c r="O147" s="2"/>
      <c r="P147" s="58"/>
      <c r="Q147" s="58"/>
      <c r="R147" s="58"/>
      <c r="S147" s="55"/>
      <c r="T147" s="36"/>
    </row>
    <row r="148" spans="1:20" s="37" customFormat="1" x14ac:dyDescent="0.25">
      <c r="A148" s="33"/>
      <c r="B148" s="54" t="str">
        <f t="shared" si="10"/>
        <v>K4B6</v>
      </c>
      <c r="C148" s="56" t="str">
        <f t="shared" si="11"/>
        <v>OBRA</v>
      </c>
      <c r="D148" s="56"/>
      <c r="E148" s="54" t="str">
        <f t="shared" si="12"/>
        <v/>
      </c>
      <c r="F148" s="22" t="str">
        <f t="shared" si="13"/>
        <v/>
      </c>
      <c r="G148" s="22" t="str">
        <f t="shared" si="14"/>
        <v/>
      </c>
      <c r="H148" s="49"/>
      <c r="I148" s="57" t="str">
        <f>IF(H148="","",MID(VLOOKUP(H148,Codigo_Material!$A$2:$C$9999,2,0),1,30))</f>
        <v/>
      </c>
      <c r="J148" s="57"/>
      <c r="K148" s="54" t="str">
        <f>IF(H148="","",MID(VLOOKUP(H148,Codigo_Material!$A$2:$C$6426,3,0),1,25))</f>
        <v/>
      </c>
      <c r="L148" s="19"/>
      <c r="M148" s="20"/>
      <c r="N148" s="1"/>
      <c r="O148" s="2"/>
      <c r="P148" s="58"/>
      <c r="Q148" s="58"/>
      <c r="R148" s="58"/>
      <c r="S148" s="55"/>
      <c r="T148" s="36"/>
    </row>
    <row r="149" spans="1:20" s="37" customFormat="1" x14ac:dyDescent="0.25">
      <c r="A149" s="33"/>
      <c r="B149" s="54" t="str">
        <f t="shared" si="10"/>
        <v>K4B6</v>
      </c>
      <c r="C149" s="56" t="str">
        <f t="shared" si="11"/>
        <v>OBRA</v>
      </c>
      <c r="D149" s="56"/>
      <c r="E149" s="54" t="str">
        <f t="shared" si="12"/>
        <v/>
      </c>
      <c r="F149" s="22" t="str">
        <f t="shared" si="13"/>
        <v/>
      </c>
      <c r="G149" s="22" t="str">
        <f t="shared" si="14"/>
        <v/>
      </c>
      <c r="H149" s="49"/>
      <c r="I149" s="57" t="str">
        <f>IF(H149="","",MID(VLOOKUP(H149,Codigo_Material!$A$2:$C$9999,2,0),1,30))</f>
        <v/>
      </c>
      <c r="J149" s="57"/>
      <c r="K149" s="54" t="str">
        <f>IF(H149="","",MID(VLOOKUP(H149,Codigo_Material!$A$2:$C$6426,3,0),1,25))</f>
        <v/>
      </c>
      <c r="L149" s="19"/>
      <c r="M149" s="20"/>
      <c r="N149" s="1"/>
      <c r="O149" s="2"/>
      <c r="P149" s="58"/>
      <c r="Q149" s="58"/>
      <c r="R149" s="58"/>
      <c r="S149" s="55"/>
      <c r="T149" s="36"/>
    </row>
    <row r="150" spans="1:20" s="37" customFormat="1" x14ac:dyDescent="0.25">
      <c r="A150" s="33"/>
      <c r="B150" s="54" t="str">
        <f t="shared" si="10"/>
        <v>K4B6</v>
      </c>
      <c r="C150" s="56" t="str">
        <f t="shared" si="11"/>
        <v>OBRA</v>
      </c>
      <c r="D150" s="56"/>
      <c r="E150" s="54" t="str">
        <f t="shared" si="12"/>
        <v/>
      </c>
      <c r="F150" s="22" t="str">
        <f t="shared" si="13"/>
        <v/>
      </c>
      <c r="G150" s="22" t="str">
        <f t="shared" si="14"/>
        <v/>
      </c>
      <c r="H150" s="49"/>
      <c r="I150" s="57" t="str">
        <f>IF(H150="","",MID(VLOOKUP(H150,Codigo_Material!$A$2:$C$9999,2,0),1,30))</f>
        <v/>
      </c>
      <c r="J150" s="57"/>
      <c r="K150" s="54" t="str">
        <f>IF(H150="","",MID(VLOOKUP(H150,Codigo_Material!$A$2:$C$6426,3,0),1,25))</f>
        <v/>
      </c>
      <c r="L150" s="19"/>
      <c r="M150" s="20"/>
      <c r="N150" s="1"/>
      <c r="O150" s="2"/>
      <c r="P150" s="58"/>
      <c r="Q150" s="58"/>
      <c r="R150" s="58"/>
      <c r="S150" s="55"/>
      <c r="T150" s="36"/>
    </row>
    <row r="151" spans="1:20" s="37" customFormat="1" x14ac:dyDescent="0.25">
      <c r="A151" s="33"/>
      <c r="B151" s="54" t="str">
        <f t="shared" si="10"/>
        <v>K4B6</v>
      </c>
      <c r="C151" s="56" t="str">
        <f t="shared" si="11"/>
        <v>OBRA</v>
      </c>
      <c r="D151" s="56"/>
      <c r="E151" s="54" t="str">
        <f t="shared" si="12"/>
        <v/>
      </c>
      <c r="F151" s="22" t="str">
        <f t="shared" si="13"/>
        <v/>
      </c>
      <c r="G151" s="22" t="str">
        <f t="shared" si="14"/>
        <v/>
      </c>
      <c r="H151" s="49"/>
      <c r="I151" s="57" t="str">
        <f>IF(H151="","",MID(VLOOKUP(H151,Codigo_Material!$A$2:$C$9999,2,0),1,30))</f>
        <v/>
      </c>
      <c r="J151" s="57"/>
      <c r="K151" s="54" t="str">
        <f>IF(H151="","",MID(VLOOKUP(H151,Codigo_Material!$A$2:$C$6426,3,0),1,25))</f>
        <v/>
      </c>
      <c r="L151" s="19"/>
      <c r="M151" s="20"/>
      <c r="N151" s="1"/>
      <c r="O151" s="2"/>
      <c r="P151" s="58"/>
      <c r="Q151" s="58"/>
      <c r="R151" s="58"/>
      <c r="S151" s="55"/>
      <c r="T151" s="36"/>
    </row>
    <row r="152" spans="1:20" s="37" customFormat="1" x14ac:dyDescent="0.25">
      <c r="A152" s="33"/>
      <c r="B152" s="54" t="str">
        <f t="shared" si="10"/>
        <v>K4B6</v>
      </c>
      <c r="C152" s="56" t="str">
        <f t="shared" si="11"/>
        <v>OBRA</v>
      </c>
      <c r="D152" s="56"/>
      <c r="E152" s="54" t="str">
        <f t="shared" si="12"/>
        <v/>
      </c>
      <c r="F152" s="22" t="str">
        <f t="shared" si="13"/>
        <v/>
      </c>
      <c r="G152" s="22" t="str">
        <f t="shared" si="14"/>
        <v/>
      </c>
      <c r="H152" s="49"/>
      <c r="I152" s="57" t="str">
        <f>IF(H152="","",MID(VLOOKUP(H152,Codigo_Material!$A$2:$C$9999,2,0),1,30))</f>
        <v/>
      </c>
      <c r="J152" s="57"/>
      <c r="K152" s="54" t="str">
        <f>IF(H152="","",MID(VLOOKUP(H152,Codigo_Material!$A$2:$C$6426,3,0),1,25))</f>
        <v/>
      </c>
      <c r="L152" s="19"/>
      <c r="M152" s="20"/>
      <c r="N152" s="1"/>
      <c r="O152" s="2"/>
      <c r="P152" s="58"/>
      <c r="Q152" s="58"/>
      <c r="R152" s="58"/>
      <c r="S152" s="55"/>
      <c r="T152" s="36"/>
    </row>
    <row r="153" spans="1:20" s="37" customFormat="1" x14ac:dyDescent="0.25">
      <c r="A153" s="33"/>
      <c r="B153" s="54" t="str">
        <f t="shared" si="10"/>
        <v>K4B6</v>
      </c>
      <c r="C153" s="56" t="str">
        <f t="shared" si="11"/>
        <v>OBRA</v>
      </c>
      <c r="D153" s="56"/>
      <c r="E153" s="54" t="str">
        <f t="shared" si="12"/>
        <v/>
      </c>
      <c r="F153" s="22" t="str">
        <f t="shared" si="13"/>
        <v/>
      </c>
      <c r="G153" s="22" t="str">
        <f t="shared" si="14"/>
        <v/>
      </c>
      <c r="H153" s="49"/>
      <c r="I153" s="57" t="str">
        <f>IF(H153="","",MID(VLOOKUP(H153,Codigo_Material!$A$2:$C$9999,2,0),1,30))</f>
        <v/>
      </c>
      <c r="J153" s="57"/>
      <c r="K153" s="54" t="str">
        <f>IF(H153="","",MID(VLOOKUP(H153,Codigo_Material!$A$2:$C$6426,3,0),1,25))</f>
        <v/>
      </c>
      <c r="L153" s="19"/>
      <c r="M153" s="20"/>
      <c r="N153" s="1"/>
      <c r="O153" s="2"/>
      <c r="P153" s="58"/>
      <c r="Q153" s="58"/>
      <c r="R153" s="58"/>
      <c r="S153" s="55"/>
      <c r="T153" s="36"/>
    </row>
    <row r="154" spans="1:20" s="37" customFormat="1" x14ac:dyDescent="0.25">
      <c r="A154" s="33"/>
      <c r="B154" s="54" t="str">
        <f t="shared" si="10"/>
        <v>K4B6</v>
      </c>
      <c r="C154" s="56" t="str">
        <f t="shared" si="11"/>
        <v>OBRA</v>
      </c>
      <c r="D154" s="56"/>
      <c r="E154" s="54" t="str">
        <f t="shared" si="12"/>
        <v/>
      </c>
      <c r="F154" s="22" t="str">
        <f t="shared" si="13"/>
        <v/>
      </c>
      <c r="G154" s="22" t="str">
        <f t="shared" si="14"/>
        <v/>
      </c>
      <c r="H154" s="49"/>
      <c r="I154" s="57" t="str">
        <f>IF(H154="","",MID(VLOOKUP(H154,Codigo_Material!$A$2:$C$9999,2,0),1,30))</f>
        <v/>
      </c>
      <c r="J154" s="57"/>
      <c r="K154" s="54" t="str">
        <f>IF(H154="","",MID(VLOOKUP(H154,Codigo_Material!$A$2:$C$6426,3,0),1,25))</f>
        <v/>
      </c>
      <c r="L154" s="19"/>
      <c r="M154" s="20"/>
      <c r="N154" s="1"/>
      <c r="O154" s="2"/>
      <c r="P154" s="58"/>
      <c r="Q154" s="58"/>
      <c r="R154" s="58"/>
      <c r="S154" s="55"/>
      <c r="T154" s="36"/>
    </row>
    <row r="155" spans="1:20" s="37" customFormat="1" x14ac:dyDescent="0.25">
      <c r="A155" s="33"/>
      <c r="B155" s="54" t="str">
        <f t="shared" si="10"/>
        <v>K4B6</v>
      </c>
      <c r="C155" s="56" t="str">
        <f t="shared" si="11"/>
        <v>OBRA</v>
      </c>
      <c r="D155" s="56"/>
      <c r="E155" s="54" t="str">
        <f t="shared" si="12"/>
        <v/>
      </c>
      <c r="F155" s="22" t="str">
        <f t="shared" si="13"/>
        <v/>
      </c>
      <c r="G155" s="22" t="str">
        <f t="shared" si="14"/>
        <v/>
      </c>
      <c r="H155" s="49"/>
      <c r="I155" s="57" t="str">
        <f>IF(H155="","",MID(VLOOKUP(H155,Codigo_Material!$A$2:$C$9999,2,0),1,30))</f>
        <v/>
      </c>
      <c r="J155" s="57"/>
      <c r="K155" s="54" t="str">
        <f>IF(H155="","",MID(VLOOKUP(H155,Codigo_Material!$A$2:$C$6426,3,0),1,25))</f>
        <v/>
      </c>
      <c r="L155" s="19"/>
      <c r="M155" s="20"/>
      <c r="N155" s="1"/>
      <c r="O155" s="2"/>
      <c r="P155" s="58"/>
      <c r="Q155" s="58"/>
      <c r="R155" s="58"/>
      <c r="S155" s="55"/>
      <c r="T155" s="36"/>
    </row>
    <row r="156" spans="1:20" s="37" customFormat="1" x14ac:dyDescent="0.25">
      <c r="A156" s="33"/>
      <c r="B156" s="54" t="str">
        <f t="shared" si="10"/>
        <v>K4B6</v>
      </c>
      <c r="C156" s="56" t="str">
        <f t="shared" si="11"/>
        <v>OBRA</v>
      </c>
      <c r="D156" s="56"/>
      <c r="E156" s="54" t="str">
        <f t="shared" si="12"/>
        <v/>
      </c>
      <c r="F156" s="22" t="str">
        <f t="shared" si="13"/>
        <v/>
      </c>
      <c r="G156" s="22" t="str">
        <f t="shared" si="14"/>
        <v/>
      </c>
      <c r="H156" s="49"/>
      <c r="I156" s="57" t="str">
        <f>IF(H156="","",MID(VLOOKUP(H156,Codigo_Material!$A$2:$C$9999,2,0),1,30))</f>
        <v/>
      </c>
      <c r="J156" s="57"/>
      <c r="K156" s="54" t="str">
        <f>IF(H156="","",MID(VLOOKUP(H156,Codigo_Material!$A$2:$C$6426,3,0),1,25))</f>
        <v/>
      </c>
      <c r="L156" s="19"/>
      <c r="M156" s="20"/>
      <c r="N156" s="1"/>
      <c r="O156" s="2"/>
      <c r="P156" s="58"/>
      <c r="Q156" s="58"/>
      <c r="R156" s="58"/>
      <c r="S156" s="55"/>
      <c r="T156" s="36"/>
    </row>
    <row r="157" spans="1:20" s="37" customFormat="1" x14ac:dyDescent="0.25">
      <c r="A157" s="33"/>
      <c r="B157" s="54" t="str">
        <f t="shared" si="10"/>
        <v>K4B6</v>
      </c>
      <c r="C157" s="56" t="str">
        <f t="shared" si="11"/>
        <v>OBRA</v>
      </c>
      <c r="D157" s="56"/>
      <c r="E157" s="54" t="str">
        <f t="shared" si="12"/>
        <v/>
      </c>
      <c r="F157" s="22" t="str">
        <f t="shared" si="13"/>
        <v/>
      </c>
      <c r="G157" s="22" t="str">
        <f t="shared" si="14"/>
        <v/>
      </c>
      <c r="H157" s="49"/>
      <c r="I157" s="57" t="str">
        <f>IF(H157="","",MID(VLOOKUP(H157,Codigo_Material!$A$2:$C$9999,2,0),1,30))</f>
        <v/>
      </c>
      <c r="J157" s="57"/>
      <c r="K157" s="54" t="str">
        <f>IF(H157="","",MID(VLOOKUP(H157,Codigo_Material!$A$2:$C$6426,3,0),1,25))</f>
        <v/>
      </c>
      <c r="L157" s="19"/>
      <c r="M157" s="20"/>
      <c r="N157" s="1"/>
      <c r="O157" s="2"/>
      <c r="P157" s="58"/>
      <c r="Q157" s="58"/>
      <c r="R157" s="58"/>
      <c r="S157" s="55"/>
      <c r="T157" s="36"/>
    </row>
    <row r="158" spans="1:20" s="37" customFormat="1" x14ac:dyDescent="0.25">
      <c r="A158" s="33"/>
      <c r="B158" s="54" t="str">
        <f t="shared" si="10"/>
        <v>K4B6</v>
      </c>
      <c r="C158" s="56" t="str">
        <f t="shared" si="11"/>
        <v>OBRA</v>
      </c>
      <c r="D158" s="56"/>
      <c r="E158" s="54" t="str">
        <f t="shared" si="12"/>
        <v/>
      </c>
      <c r="F158" s="22" t="str">
        <f t="shared" si="13"/>
        <v/>
      </c>
      <c r="G158" s="22" t="str">
        <f t="shared" si="14"/>
        <v/>
      </c>
      <c r="H158" s="49"/>
      <c r="I158" s="57" t="str">
        <f>IF(H158="","",MID(VLOOKUP(H158,Codigo_Material!$A$2:$C$9999,2,0),1,30))</f>
        <v/>
      </c>
      <c r="J158" s="57"/>
      <c r="K158" s="54" t="str">
        <f>IF(H158="","",MID(VLOOKUP(H158,Codigo_Material!$A$2:$C$6426,3,0),1,25))</f>
        <v/>
      </c>
      <c r="L158" s="19"/>
      <c r="M158" s="20"/>
      <c r="N158" s="1"/>
      <c r="O158" s="2"/>
      <c r="P158" s="58"/>
      <c r="Q158" s="58"/>
      <c r="R158" s="58"/>
      <c r="S158" s="55"/>
      <c r="T158" s="36"/>
    </row>
    <row r="159" spans="1:20" s="37" customFormat="1" x14ac:dyDescent="0.25">
      <c r="A159" s="33"/>
      <c r="B159" s="54" t="str">
        <f t="shared" si="10"/>
        <v>K4B6</v>
      </c>
      <c r="C159" s="56" t="str">
        <f t="shared" si="11"/>
        <v>OBRA</v>
      </c>
      <c r="D159" s="56"/>
      <c r="E159" s="54" t="str">
        <f t="shared" si="12"/>
        <v/>
      </c>
      <c r="F159" s="22" t="str">
        <f t="shared" si="13"/>
        <v/>
      </c>
      <c r="G159" s="22" t="str">
        <f t="shared" si="14"/>
        <v/>
      </c>
      <c r="H159" s="49"/>
      <c r="I159" s="57" t="str">
        <f>IF(H159="","",MID(VLOOKUP(H159,Codigo_Material!$A$2:$C$9999,2,0),1,30))</f>
        <v/>
      </c>
      <c r="J159" s="57"/>
      <c r="K159" s="54" t="str">
        <f>IF(H159="","",MID(VLOOKUP(H159,Codigo_Material!$A$2:$C$6426,3,0),1,25))</f>
        <v/>
      </c>
      <c r="L159" s="19"/>
      <c r="M159" s="20"/>
      <c r="N159" s="1"/>
      <c r="O159" s="2"/>
      <c r="P159" s="58"/>
      <c r="Q159" s="58"/>
      <c r="R159" s="58"/>
      <c r="S159" s="55"/>
      <c r="T159" s="36"/>
    </row>
    <row r="160" spans="1:20" s="37" customFormat="1" x14ac:dyDescent="0.25">
      <c r="A160" s="33"/>
      <c r="B160" s="54" t="str">
        <f t="shared" si="10"/>
        <v>K4B6</v>
      </c>
      <c r="C160" s="56" t="str">
        <f t="shared" si="11"/>
        <v>OBRA</v>
      </c>
      <c r="D160" s="56"/>
      <c r="E160" s="54" t="str">
        <f t="shared" si="12"/>
        <v/>
      </c>
      <c r="F160" s="22" t="str">
        <f t="shared" si="13"/>
        <v/>
      </c>
      <c r="G160" s="22" t="str">
        <f t="shared" si="14"/>
        <v/>
      </c>
      <c r="H160" s="49"/>
      <c r="I160" s="57" t="str">
        <f>IF(H160="","",MID(VLOOKUP(H160,Codigo_Material!$A$2:$C$9999,2,0),1,30))</f>
        <v/>
      </c>
      <c r="J160" s="57"/>
      <c r="K160" s="54" t="str">
        <f>IF(H160="","",MID(VLOOKUP(H160,Codigo_Material!$A$2:$C$6426,3,0),1,25))</f>
        <v/>
      </c>
      <c r="L160" s="19"/>
      <c r="M160" s="20"/>
      <c r="N160" s="1"/>
      <c r="O160" s="2"/>
      <c r="P160" s="58"/>
      <c r="Q160" s="58"/>
      <c r="R160" s="58"/>
      <c r="S160" s="55"/>
      <c r="T160" s="36"/>
    </row>
    <row r="161" spans="1:20" s="37" customFormat="1" x14ac:dyDescent="0.25">
      <c r="A161" s="33"/>
      <c r="B161" s="54" t="str">
        <f t="shared" si="10"/>
        <v>K4B6</v>
      </c>
      <c r="C161" s="56" t="str">
        <f t="shared" si="11"/>
        <v>OBRA</v>
      </c>
      <c r="D161" s="56"/>
      <c r="E161" s="54" t="str">
        <f t="shared" si="12"/>
        <v/>
      </c>
      <c r="F161" s="22" t="str">
        <f t="shared" si="13"/>
        <v/>
      </c>
      <c r="G161" s="22" t="str">
        <f t="shared" si="14"/>
        <v/>
      </c>
      <c r="H161" s="49"/>
      <c r="I161" s="57" t="str">
        <f>IF(H161="","",MID(VLOOKUP(H161,Codigo_Material!$A$2:$C$9999,2,0),1,30))</f>
        <v/>
      </c>
      <c r="J161" s="57"/>
      <c r="K161" s="54" t="str">
        <f>IF(H161="","",MID(VLOOKUP(H161,Codigo_Material!$A$2:$C$6426,3,0),1,25))</f>
        <v/>
      </c>
      <c r="L161" s="19"/>
      <c r="M161" s="20"/>
      <c r="N161" s="1"/>
      <c r="O161" s="2"/>
      <c r="P161" s="58"/>
      <c r="Q161" s="58"/>
      <c r="R161" s="58"/>
      <c r="S161" s="55"/>
      <c r="T161" s="36"/>
    </row>
    <row r="162" spans="1:20" s="37" customFormat="1" x14ac:dyDescent="0.25">
      <c r="A162" s="33"/>
      <c r="B162" s="54" t="str">
        <f t="shared" si="10"/>
        <v>K4B6</v>
      </c>
      <c r="C162" s="56" t="str">
        <f t="shared" si="11"/>
        <v>OBRA</v>
      </c>
      <c r="D162" s="56"/>
      <c r="E162" s="54" t="str">
        <f t="shared" si="12"/>
        <v/>
      </c>
      <c r="F162" s="22" t="str">
        <f t="shared" si="13"/>
        <v/>
      </c>
      <c r="G162" s="22" t="str">
        <f t="shared" si="14"/>
        <v/>
      </c>
      <c r="H162" s="49"/>
      <c r="I162" s="57" t="str">
        <f>IF(H162="","",MID(VLOOKUP(H162,Codigo_Material!$A$2:$C$9999,2,0),1,30))</f>
        <v/>
      </c>
      <c r="J162" s="57"/>
      <c r="K162" s="54" t="str">
        <f>IF(H162="","",MID(VLOOKUP(H162,Codigo_Material!$A$2:$C$6426,3,0),1,25))</f>
        <v/>
      </c>
      <c r="L162" s="19"/>
      <c r="M162" s="20"/>
      <c r="N162" s="1"/>
      <c r="O162" s="2"/>
      <c r="P162" s="58"/>
      <c r="Q162" s="58"/>
      <c r="R162" s="58"/>
      <c r="S162" s="55"/>
      <c r="T162" s="36"/>
    </row>
    <row r="163" spans="1:20" s="37" customFormat="1" x14ac:dyDescent="0.25">
      <c r="A163" s="33"/>
      <c r="B163" s="54" t="str">
        <f t="shared" si="10"/>
        <v>K4B6</v>
      </c>
      <c r="C163" s="56" t="str">
        <f t="shared" si="11"/>
        <v>OBRA</v>
      </c>
      <c r="D163" s="56"/>
      <c r="E163" s="54" t="str">
        <f t="shared" si="12"/>
        <v/>
      </c>
      <c r="F163" s="22" t="str">
        <f t="shared" si="13"/>
        <v/>
      </c>
      <c r="G163" s="22" t="str">
        <f t="shared" si="14"/>
        <v/>
      </c>
      <c r="H163" s="49"/>
      <c r="I163" s="57" t="str">
        <f>IF(H163="","",MID(VLOOKUP(H163,Codigo_Material!$A$2:$C$9999,2,0),1,30))</f>
        <v/>
      </c>
      <c r="J163" s="57"/>
      <c r="K163" s="54" t="str">
        <f>IF(H163="","",MID(VLOOKUP(H163,Codigo_Material!$A$2:$C$6426,3,0),1,25))</f>
        <v/>
      </c>
      <c r="L163" s="19"/>
      <c r="M163" s="20"/>
      <c r="N163" s="1"/>
      <c r="O163" s="2"/>
      <c r="P163" s="58"/>
      <c r="Q163" s="58"/>
      <c r="R163" s="58"/>
      <c r="S163" s="55"/>
      <c r="T163" s="36"/>
    </row>
    <row r="164" spans="1:20" s="37" customFormat="1" x14ac:dyDescent="0.25">
      <c r="A164" s="33"/>
      <c r="B164" s="54" t="str">
        <f t="shared" si="10"/>
        <v>K4B6</v>
      </c>
      <c r="C164" s="56" t="str">
        <f t="shared" si="11"/>
        <v>OBRA</v>
      </c>
      <c r="D164" s="56"/>
      <c r="E164" s="54" t="str">
        <f t="shared" si="12"/>
        <v/>
      </c>
      <c r="F164" s="22" t="str">
        <f t="shared" si="13"/>
        <v/>
      </c>
      <c r="G164" s="22" t="str">
        <f t="shared" si="14"/>
        <v/>
      </c>
      <c r="H164" s="49"/>
      <c r="I164" s="57" t="str">
        <f>IF(H164="","",MID(VLOOKUP(H164,Codigo_Material!$A$2:$C$9999,2,0),1,30))</f>
        <v/>
      </c>
      <c r="J164" s="57"/>
      <c r="K164" s="54" t="str">
        <f>IF(H164="","",MID(VLOOKUP(H164,Codigo_Material!$A$2:$C$6426,3,0),1,25))</f>
        <v/>
      </c>
      <c r="L164" s="19"/>
      <c r="M164" s="20"/>
      <c r="N164" s="1"/>
      <c r="O164" s="2"/>
      <c r="P164" s="58"/>
      <c r="Q164" s="58"/>
      <c r="R164" s="58"/>
      <c r="S164" s="55"/>
      <c r="T164" s="36"/>
    </row>
    <row r="165" spans="1:20" s="37" customFormat="1" x14ac:dyDescent="0.25">
      <c r="A165" s="33"/>
      <c r="B165" s="54" t="str">
        <f t="shared" si="10"/>
        <v>K4B6</v>
      </c>
      <c r="C165" s="56" t="str">
        <f t="shared" si="11"/>
        <v>OBRA</v>
      </c>
      <c r="D165" s="56"/>
      <c r="E165" s="54" t="str">
        <f t="shared" si="12"/>
        <v/>
      </c>
      <c r="F165" s="22" t="str">
        <f t="shared" si="13"/>
        <v/>
      </c>
      <c r="G165" s="22" t="str">
        <f t="shared" si="14"/>
        <v/>
      </c>
      <c r="H165" s="49"/>
      <c r="I165" s="57" t="str">
        <f>IF(H165="","",MID(VLOOKUP(H165,Codigo_Material!$A$2:$C$9999,2,0),1,30))</f>
        <v/>
      </c>
      <c r="J165" s="57"/>
      <c r="K165" s="54" t="str">
        <f>IF(H165="","",MID(VLOOKUP(H165,Codigo_Material!$A$2:$C$6426,3,0),1,25))</f>
        <v/>
      </c>
      <c r="L165" s="19"/>
      <c r="M165" s="20"/>
      <c r="N165" s="1"/>
      <c r="O165" s="2"/>
      <c r="P165" s="58"/>
      <c r="Q165" s="58"/>
      <c r="R165" s="58"/>
      <c r="S165" s="55"/>
      <c r="T165" s="36"/>
    </row>
    <row r="166" spans="1:20" s="37" customFormat="1" x14ac:dyDescent="0.25">
      <c r="A166" s="33"/>
      <c r="B166" s="54" t="str">
        <f t="shared" si="10"/>
        <v>K4B6</v>
      </c>
      <c r="C166" s="56" t="str">
        <f t="shared" si="11"/>
        <v>OBRA</v>
      </c>
      <c r="D166" s="56"/>
      <c r="E166" s="54" t="str">
        <f t="shared" si="12"/>
        <v/>
      </c>
      <c r="F166" s="22" t="str">
        <f t="shared" si="13"/>
        <v/>
      </c>
      <c r="G166" s="22" t="str">
        <f t="shared" si="14"/>
        <v/>
      </c>
      <c r="H166" s="49"/>
      <c r="I166" s="57" t="str">
        <f>IF(H166="","",MID(VLOOKUP(H166,Codigo_Material!$A$2:$C$9999,2,0),1,30))</f>
        <v/>
      </c>
      <c r="J166" s="57"/>
      <c r="K166" s="54" t="str">
        <f>IF(H166="","",MID(VLOOKUP(H166,Codigo_Material!$A$2:$C$6426,3,0),1,25))</f>
        <v/>
      </c>
      <c r="L166" s="19"/>
      <c r="M166" s="20"/>
      <c r="N166" s="1"/>
      <c r="O166" s="2"/>
      <c r="P166" s="58"/>
      <c r="Q166" s="58"/>
      <c r="R166" s="58"/>
      <c r="S166" s="55"/>
      <c r="T166" s="36"/>
    </row>
    <row r="167" spans="1:20" s="37" customFormat="1" x14ac:dyDescent="0.25">
      <c r="A167" s="33"/>
      <c r="B167" s="54" t="str">
        <f t="shared" si="10"/>
        <v>K4B6</v>
      </c>
      <c r="C167" s="56" t="str">
        <f t="shared" si="11"/>
        <v>OBRA</v>
      </c>
      <c r="D167" s="56"/>
      <c r="E167" s="54" t="str">
        <f t="shared" si="12"/>
        <v/>
      </c>
      <c r="F167" s="22" t="str">
        <f t="shared" si="13"/>
        <v/>
      </c>
      <c r="G167" s="22" t="str">
        <f t="shared" si="14"/>
        <v/>
      </c>
      <c r="H167" s="49"/>
      <c r="I167" s="57" t="str">
        <f>IF(H167="","",MID(VLOOKUP(H167,Codigo_Material!$A$2:$C$9999,2,0),1,30))</f>
        <v/>
      </c>
      <c r="J167" s="57"/>
      <c r="K167" s="54" t="str">
        <f>IF(H167="","",MID(VLOOKUP(H167,Codigo_Material!$A$2:$C$6426,3,0),1,25))</f>
        <v/>
      </c>
      <c r="L167" s="19"/>
      <c r="M167" s="20"/>
      <c r="N167" s="1"/>
      <c r="O167" s="2"/>
      <c r="P167" s="58"/>
      <c r="Q167" s="58"/>
      <c r="R167" s="58"/>
      <c r="S167" s="55"/>
      <c r="T167" s="36"/>
    </row>
    <row r="168" spans="1:20" s="37" customFormat="1" x14ac:dyDescent="0.25">
      <c r="A168" s="33"/>
      <c r="B168" s="54" t="str">
        <f t="shared" si="10"/>
        <v>K4B6</v>
      </c>
      <c r="C168" s="56" t="str">
        <f t="shared" si="11"/>
        <v>OBRA</v>
      </c>
      <c r="D168" s="56"/>
      <c r="E168" s="54" t="str">
        <f t="shared" si="12"/>
        <v/>
      </c>
      <c r="F168" s="22" t="str">
        <f t="shared" si="13"/>
        <v/>
      </c>
      <c r="G168" s="22" t="str">
        <f t="shared" si="14"/>
        <v/>
      </c>
      <c r="H168" s="49"/>
      <c r="I168" s="57" t="str">
        <f>IF(H168="","",MID(VLOOKUP(H168,Codigo_Material!$A$2:$C$9999,2,0),1,30))</f>
        <v/>
      </c>
      <c r="J168" s="57"/>
      <c r="K168" s="54" t="str">
        <f>IF(H168="","",MID(VLOOKUP(H168,Codigo_Material!$A$2:$C$6426,3,0),1,25))</f>
        <v/>
      </c>
      <c r="L168" s="19"/>
      <c r="M168" s="20"/>
      <c r="N168" s="1"/>
      <c r="O168" s="2"/>
      <c r="P168" s="58"/>
      <c r="Q168" s="58"/>
      <c r="R168" s="58"/>
      <c r="S168" s="55"/>
      <c r="T168" s="36"/>
    </row>
    <row r="169" spans="1:20" s="37" customFormat="1" x14ac:dyDescent="0.25">
      <c r="A169" s="33"/>
      <c r="B169" s="54" t="str">
        <f t="shared" si="10"/>
        <v>K4B6</v>
      </c>
      <c r="C169" s="56" t="str">
        <f t="shared" si="11"/>
        <v>OBRA</v>
      </c>
      <c r="D169" s="56"/>
      <c r="E169" s="54" t="str">
        <f t="shared" si="12"/>
        <v/>
      </c>
      <c r="F169" s="22" t="str">
        <f t="shared" si="13"/>
        <v/>
      </c>
      <c r="G169" s="22" t="str">
        <f t="shared" si="14"/>
        <v/>
      </c>
      <c r="H169" s="49"/>
      <c r="I169" s="57" t="str">
        <f>IF(H169="","",MID(VLOOKUP(H169,Codigo_Material!$A$2:$C$9999,2,0),1,30))</f>
        <v/>
      </c>
      <c r="J169" s="57"/>
      <c r="K169" s="54" t="str">
        <f>IF(H169="","",MID(VLOOKUP(H169,Codigo_Material!$A$2:$C$6426,3,0),1,25))</f>
        <v/>
      </c>
      <c r="L169" s="19"/>
      <c r="M169" s="20"/>
      <c r="N169" s="1"/>
      <c r="O169" s="2"/>
      <c r="P169" s="58"/>
      <c r="Q169" s="58"/>
      <c r="R169" s="58"/>
      <c r="S169" s="55"/>
      <c r="T169" s="36"/>
    </row>
    <row r="170" spans="1:20" s="37" customFormat="1" x14ac:dyDescent="0.25">
      <c r="A170" s="33"/>
      <c r="B170" s="54" t="str">
        <f t="shared" si="10"/>
        <v>K4B6</v>
      </c>
      <c r="C170" s="56" t="str">
        <f t="shared" si="11"/>
        <v>OBRA</v>
      </c>
      <c r="D170" s="56"/>
      <c r="E170" s="54" t="str">
        <f t="shared" si="12"/>
        <v/>
      </c>
      <c r="F170" s="22" t="str">
        <f t="shared" si="13"/>
        <v/>
      </c>
      <c r="G170" s="22" t="str">
        <f t="shared" si="14"/>
        <v/>
      </c>
      <c r="H170" s="49"/>
      <c r="I170" s="57" t="str">
        <f>IF(H170="","",MID(VLOOKUP(H170,Codigo_Material!$A$2:$C$9999,2,0),1,30))</f>
        <v/>
      </c>
      <c r="J170" s="57"/>
      <c r="K170" s="54" t="str">
        <f>IF(H170="","",MID(VLOOKUP(H170,Codigo_Material!$A$2:$C$6426,3,0),1,25))</f>
        <v/>
      </c>
      <c r="L170" s="19"/>
      <c r="M170" s="20"/>
      <c r="N170" s="1"/>
      <c r="O170" s="2"/>
      <c r="P170" s="58"/>
      <c r="Q170" s="58"/>
      <c r="R170" s="58"/>
      <c r="S170" s="55"/>
      <c r="T170" s="36"/>
    </row>
    <row r="171" spans="1:20" s="37" customFormat="1" x14ac:dyDescent="0.25">
      <c r="A171" s="33"/>
      <c r="B171" s="54" t="str">
        <f t="shared" si="10"/>
        <v>K4B6</v>
      </c>
      <c r="C171" s="56" t="str">
        <f t="shared" si="11"/>
        <v>OBRA</v>
      </c>
      <c r="D171" s="56"/>
      <c r="E171" s="54" t="str">
        <f t="shared" si="12"/>
        <v/>
      </c>
      <c r="F171" s="22" t="str">
        <f t="shared" si="13"/>
        <v/>
      </c>
      <c r="G171" s="22" t="str">
        <f t="shared" si="14"/>
        <v/>
      </c>
      <c r="H171" s="49"/>
      <c r="I171" s="57" t="str">
        <f>IF(H171="","",MID(VLOOKUP(H171,Codigo_Material!$A$2:$C$9999,2,0),1,30))</f>
        <v/>
      </c>
      <c r="J171" s="57"/>
      <c r="K171" s="54" t="str">
        <f>IF(H171="","",MID(VLOOKUP(H171,Codigo_Material!$A$2:$C$6426,3,0),1,25))</f>
        <v/>
      </c>
      <c r="L171" s="19"/>
      <c r="M171" s="20"/>
      <c r="N171" s="1"/>
      <c r="O171" s="2"/>
      <c r="P171" s="58"/>
      <c r="Q171" s="58"/>
      <c r="R171" s="58"/>
      <c r="S171" s="55"/>
      <c r="T171" s="36"/>
    </row>
    <row r="172" spans="1:20" s="37" customFormat="1" x14ac:dyDescent="0.25">
      <c r="A172" s="33"/>
      <c r="B172" s="54" t="str">
        <f t="shared" si="10"/>
        <v>K4B6</v>
      </c>
      <c r="C172" s="56" t="str">
        <f t="shared" si="11"/>
        <v>OBRA</v>
      </c>
      <c r="D172" s="56"/>
      <c r="E172" s="54" t="str">
        <f t="shared" si="12"/>
        <v/>
      </c>
      <c r="F172" s="22" t="str">
        <f t="shared" si="13"/>
        <v/>
      </c>
      <c r="G172" s="22" t="str">
        <f t="shared" si="14"/>
        <v/>
      </c>
      <c r="H172" s="49"/>
      <c r="I172" s="57" t="str">
        <f>IF(H172="","",MID(VLOOKUP(H172,Codigo_Material!$A$2:$C$9999,2,0),1,30))</f>
        <v/>
      </c>
      <c r="J172" s="57"/>
      <c r="K172" s="54" t="str">
        <f>IF(H172="","",MID(VLOOKUP(H172,Codigo_Material!$A$2:$C$6426,3,0),1,25))</f>
        <v/>
      </c>
      <c r="L172" s="19"/>
      <c r="M172" s="20"/>
      <c r="N172" s="1"/>
      <c r="O172" s="2"/>
      <c r="P172" s="58"/>
      <c r="Q172" s="58"/>
      <c r="R172" s="58"/>
      <c r="S172" s="55"/>
      <c r="T172" s="36"/>
    </row>
    <row r="173" spans="1:20" s="37" customFormat="1" x14ac:dyDescent="0.25">
      <c r="A173" s="33"/>
      <c r="B173" s="54" t="str">
        <f t="shared" si="10"/>
        <v>K4B6</v>
      </c>
      <c r="C173" s="56" t="str">
        <f t="shared" si="11"/>
        <v>OBRA</v>
      </c>
      <c r="D173" s="56"/>
      <c r="E173" s="54" t="str">
        <f t="shared" si="12"/>
        <v/>
      </c>
      <c r="F173" s="22" t="str">
        <f t="shared" si="13"/>
        <v/>
      </c>
      <c r="G173" s="22" t="str">
        <f t="shared" si="14"/>
        <v/>
      </c>
      <c r="H173" s="49"/>
      <c r="I173" s="57" t="str">
        <f>IF(H173="","",MID(VLOOKUP(H173,Codigo_Material!$A$2:$C$9999,2,0),1,30))</f>
        <v/>
      </c>
      <c r="J173" s="57"/>
      <c r="K173" s="54" t="str">
        <f>IF(H173="","",MID(VLOOKUP(H173,Codigo_Material!$A$2:$C$6426,3,0),1,25))</f>
        <v/>
      </c>
      <c r="L173" s="19"/>
      <c r="M173" s="20"/>
      <c r="N173" s="1"/>
      <c r="O173" s="2"/>
      <c r="P173" s="58"/>
      <c r="Q173" s="58"/>
      <c r="R173" s="58"/>
      <c r="S173" s="55"/>
      <c r="T173" s="36"/>
    </row>
    <row r="174" spans="1:20" s="37" customFormat="1" x14ac:dyDescent="0.25">
      <c r="A174" s="33"/>
      <c r="B174" s="54" t="str">
        <f t="shared" si="10"/>
        <v>K4B6</v>
      </c>
      <c r="C174" s="56" t="str">
        <f t="shared" si="11"/>
        <v>OBRA</v>
      </c>
      <c r="D174" s="56"/>
      <c r="E174" s="54" t="str">
        <f t="shared" si="12"/>
        <v/>
      </c>
      <c r="F174" s="22" t="str">
        <f t="shared" si="13"/>
        <v/>
      </c>
      <c r="G174" s="22" t="str">
        <f t="shared" si="14"/>
        <v/>
      </c>
      <c r="H174" s="49"/>
      <c r="I174" s="57" t="str">
        <f>IF(H174="","",MID(VLOOKUP(H174,Codigo_Material!$A$2:$C$9999,2,0),1,30))</f>
        <v/>
      </c>
      <c r="J174" s="57"/>
      <c r="K174" s="54" t="str">
        <f>IF(H174="","",MID(VLOOKUP(H174,Codigo_Material!$A$2:$C$6426,3,0),1,25))</f>
        <v/>
      </c>
      <c r="L174" s="19"/>
      <c r="M174" s="20"/>
      <c r="N174" s="1"/>
      <c r="O174" s="2"/>
      <c r="P174" s="58"/>
      <c r="Q174" s="58"/>
      <c r="R174" s="58"/>
      <c r="S174" s="55"/>
      <c r="T174" s="36"/>
    </row>
    <row r="175" spans="1:20" s="37" customFormat="1" x14ac:dyDescent="0.25">
      <c r="A175" s="33"/>
      <c r="B175" s="54" t="str">
        <f t="shared" si="10"/>
        <v>K4B6</v>
      </c>
      <c r="C175" s="56" t="str">
        <f t="shared" si="11"/>
        <v>OBRA</v>
      </c>
      <c r="D175" s="56"/>
      <c r="E175" s="54" t="str">
        <f t="shared" si="12"/>
        <v/>
      </c>
      <c r="F175" s="22" t="str">
        <f t="shared" si="13"/>
        <v/>
      </c>
      <c r="G175" s="22" t="str">
        <f t="shared" si="14"/>
        <v/>
      </c>
      <c r="H175" s="49"/>
      <c r="I175" s="57" t="str">
        <f>IF(H175="","",MID(VLOOKUP(H175,Codigo_Material!$A$2:$C$9999,2,0),1,30))</f>
        <v/>
      </c>
      <c r="J175" s="57"/>
      <c r="K175" s="54" t="str">
        <f>IF(H175="","",MID(VLOOKUP(H175,Codigo_Material!$A$2:$C$6426,3,0),1,25))</f>
        <v/>
      </c>
      <c r="L175" s="19"/>
      <c r="M175" s="20"/>
      <c r="N175" s="1"/>
      <c r="O175" s="2"/>
      <c r="P175" s="58"/>
      <c r="Q175" s="58"/>
      <c r="R175" s="58"/>
      <c r="S175" s="55"/>
      <c r="T175" s="36"/>
    </row>
    <row r="176" spans="1:20" s="37" customFormat="1" x14ac:dyDescent="0.25">
      <c r="A176" s="33"/>
      <c r="B176" s="54" t="str">
        <f t="shared" si="10"/>
        <v>K4B6</v>
      </c>
      <c r="C176" s="56" t="str">
        <f t="shared" si="11"/>
        <v>OBRA</v>
      </c>
      <c r="D176" s="56"/>
      <c r="E176" s="54" t="str">
        <f t="shared" si="12"/>
        <v/>
      </c>
      <c r="F176" s="22" t="str">
        <f t="shared" si="13"/>
        <v/>
      </c>
      <c r="G176" s="22" t="str">
        <f t="shared" si="14"/>
        <v/>
      </c>
      <c r="H176" s="49"/>
      <c r="I176" s="57" t="str">
        <f>IF(H176="","",MID(VLOOKUP(H176,Codigo_Material!$A$2:$C$9999,2,0),1,30))</f>
        <v/>
      </c>
      <c r="J176" s="57"/>
      <c r="K176" s="54" t="str">
        <f>IF(H176="","",MID(VLOOKUP(H176,Codigo_Material!$A$2:$C$6426,3,0),1,25))</f>
        <v/>
      </c>
      <c r="L176" s="19"/>
      <c r="M176" s="20"/>
      <c r="N176" s="1"/>
      <c r="O176" s="2"/>
      <c r="P176" s="58"/>
      <c r="Q176" s="58"/>
      <c r="R176" s="58"/>
      <c r="S176" s="55"/>
      <c r="T176" s="36"/>
    </row>
    <row r="177" spans="1:20" s="37" customFormat="1" x14ac:dyDescent="0.25">
      <c r="A177" s="33"/>
      <c r="B177" s="54" t="str">
        <f t="shared" si="10"/>
        <v>K4B6</v>
      </c>
      <c r="C177" s="56" t="str">
        <f t="shared" si="11"/>
        <v>OBRA</v>
      </c>
      <c r="D177" s="56"/>
      <c r="E177" s="54" t="str">
        <f t="shared" si="12"/>
        <v/>
      </c>
      <c r="F177" s="22" t="str">
        <f t="shared" si="13"/>
        <v/>
      </c>
      <c r="G177" s="22" t="str">
        <f t="shared" si="14"/>
        <v/>
      </c>
      <c r="H177" s="49"/>
      <c r="I177" s="57" t="str">
        <f>IF(H177="","",MID(VLOOKUP(H177,Codigo_Material!$A$2:$C$9999,2,0),1,30))</f>
        <v/>
      </c>
      <c r="J177" s="57"/>
      <c r="K177" s="54" t="str">
        <f>IF(H177="","",MID(VLOOKUP(H177,Codigo_Material!$A$2:$C$6426,3,0),1,25))</f>
        <v/>
      </c>
      <c r="L177" s="19"/>
      <c r="M177" s="20"/>
      <c r="N177" s="1"/>
      <c r="O177" s="2"/>
      <c r="P177" s="58"/>
      <c r="Q177" s="58"/>
      <c r="R177" s="58"/>
      <c r="S177" s="55"/>
      <c r="T177" s="36"/>
    </row>
    <row r="178" spans="1:20" s="37" customFormat="1" x14ac:dyDescent="0.25">
      <c r="A178" s="33"/>
      <c r="B178" s="54" t="str">
        <f t="shared" si="10"/>
        <v>K4B6</v>
      </c>
      <c r="C178" s="56" t="str">
        <f t="shared" si="11"/>
        <v>OBRA</v>
      </c>
      <c r="D178" s="56"/>
      <c r="E178" s="54" t="str">
        <f t="shared" si="12"/>
        <v/>
      </c>
      <c r="F178" s="22" t="str">
        <f t="shared" si="13"/>
        <v/>
      </c>
      <c r="G178" s="22" t="str">
        <f t="shared" si="14"/>
        <v/>
      </c>
      <c r="H178" s="49"/>
      <c r="I178" s="57" t="str">
        <f>IF(H178="","",MID(VLOOKUP(H178,Codigo_Material!$A$2:$C$9999,2,0),1,30))</f>
        <v/>
      </c>
      <c r="J178" s="57"/>
      <c r="K178" s="54" t="str">
        <f>IF(H178="","",MID(VLOOKUP(H178,Codigo_Material!$A$2:$C$6426,3,0),1,25))</f>
        <v/>
      </c>
      <c r="L178" s="19"/>
      <c r="M178" s="20"/>
      <c r="N178" s="1"/>
      <c r="O178" s="2"/>
      <c r="P178" s="58"/>
      <c r="Q178" s="58"/>
      <c r="R178" s="58"/>
      <c r="S178" s="55"/>
      <c r="T178" s="36"/>
    </row>
    <row r="179" spans="1:20" s="37" customFormat="1" x14ac:dyDescent="0.25">
      <c r="A179" s="33"/>
      <c r="B179" s="54" t="str">
        <f t="shared" si="10"/>
        <v>K4B6</v>
      </c>
      <c r="C179" s="56" t="str">
        <f t="shared" si="11"/>
        <v>OBRA</v>
      </c>
      <c r="D179" s="56"/>
      <c r="E179" s="54" t="str">
        <f t="shared" si="12"/>
        <v/>
      </c>
      <c r="F179" s="22" t="str">
        <f t="shared" si="13"/>
        <v/>
      </c>
      <c r="G179" s="22" t="str">
        <f t="shared" si="14"/>
        <v/>
      </c>
      <c r="H179" s="49"/>
      <c r="I179" s="57" t="str">
        <f>IF(H179="","",MID(VLOOKUP(H179,Codigo_Material!$A$2:$C$9999,2,0),1,30))</f>
        <v/>
      </c>
      <c r="J179" s="57"/>
      <c r="K179" s="54" t="str">
        <f>IF(H179="","",MID(VLOOKUP(H179,Codigo_Material!$A$2:$C$6426,3,0),1,25))</f>
        <v/>
      </c>
      <c r="L179" s="19"/>
      <c r="M179" s="20"/>
      <c r="N179" s="1"/>
      <c r="O179" s="2"/>
      <c r="P179" s="58"/>
      <c r="Q179" s="58"/>
      <c r="R179" s="58"/>
      <c r="S179" s="55"/>
      <c r="T179" s="36"/>
    </row>
    <row r="180" spans="1:20" s="37" customFormat="1" x14ac:dyDescent="0.25">
      <c r="A180" s="33"/>
      <c r="B180" s="54" t="str">
        <f t="shared" si="10"/>
        <v>K4B6</v>
      </c>
      <c r="C180" s="56" t="str">
        <f t="shared" si="11"/>
        <v>OBRA</v>
      </c>
      <c r="D180" s="56"/>
      <c r="E180" s="54" t="str">
        <f t="shared" si="12"/>
        <v/>
      </c>
      <c r="F180" s="22" t="str">
        <f t="shared" si="13"/>
        <v/>
      </c>
      <c r="G180" s="22" t="str">
        <f t="shared" si="14"/>
        <v/>
      </c>
      <c r="H180" s="49"/>
      <c r="I180" s="57" t="str">
        <f>IF(H180="","",MID(VLOOKUP(H180,Codigo_Material!$A$2:$C$9999,2,0),1,30))</f>
        <v/>
      </c>
      <c r="J180" s="57"/>
      <c r="K180" s="54" t="str">
        <f>IF(H180="","",MID(VLOOKUP(H180,Codigo_Material!$A$2:$C$6426,3,0),1,25))</f>
        <v/>
      </c>
      <c r="L180" s="19"/>
      <c r="M180" s="20"/>
      <c r="N180" s="1"/>
      <c r="O180" s="2"/>
      <c r="P180" s="58"/>
      <c r="Q180" s="58"/>
      <c r="R180" s="58"/>
      <c r="S180" s="55"/>
      <c r="T180" s="36"/>
    </row>
    <row r="181" spans="1:20" s="37" customFormat="1" x14ac:dyDescent="0.25">
      <c r="A181" s="33"/>
      <c r="B181" s="54" t="str">
        <f t="shared" si="10"/>
        <v>K4B6</v>
      </c>
      <c r="C181" s="56" t="str">
        <f t="shared" si="11"/>
        <v>OBRA</v>
      </c>
      <c r="D181" s="56"/>
      <c r="E181" s="54" t="str">
        <f t="shared" si="12"/>
        <v/>
      </c>
      <c r="F181" s="22" t="str">
        <f t="shared" si="13"/>
        <v/>
      </c>
      <c r="G181" s="22" t="str">
        <f t="shared" si="14"/>
        <v/>
      </c>
      <c r="H181" s="49"/>
      <c r="I181" s="57" t="str">
        <f>IF(H181="","",MID(VLOOKUP(H181,Codigo_Material!$A$2:$C$9999,2,0),1,30))</f>
        <v/>
      </c>
      <c r="J181" s="57"/>
      <c r="K181" s="54" t="str">
        <f>IF(H181="","",MID(VLOOKUP(H181,Codigo_Material!$A$2:$C$6426,3,0),1,25))</f>
        <v/>
      </c>
      <c r="L181" s="19"/>
      <c r="M181" s="20"/>
      <c r="N181" s="1"/>
      <c r="O181" s="2"/>
      <c r="P181" s="58"/>
      <c r="Q181" s="58"/>
      <c r="R181" s="58"/>
      <c r="S181" s="55"/>
      <c r="T181" s="36"/>
    </row>
    <row r="182" spans="1:20" s="37" customFormat="1" x14ac:dyDescent="0.25">
      <c r="A182" s="33"/>
      <c r="B182" s="54" t="str">
        <f t="shared" si="10"/>
        <v>K4B6</v>
      </c>
      <c r="C182" s="56" t="str">
        <f t="shared" si="11"/>
        <v>OBRA</v>
      </c>
      <c r="D182" s="56"/>
      <c r="E182" s="54" t="str">
        <f t="shared" si="12"/>
        <v/>
      </c>
      <c r="F182" s="22" t="str">
        <f t="shared" si="13"/>
        <v/>
      </c>
      <c r="G182" s="22" t="str">
        <f t="shared" si="14"/>
        <v/>
      </c>
      <c r="H182" s="49"/>
      <c r="I182" s="57" t="str">
        <f>IF(H182="","",MID(VLOOKUP(H182,Codigo_Material!$A$2:$C$9999,2,0),1,30))</f>
        <v/>
      </c>
      <c r="J182" s="57"/>
      <c r="K182" s="54" t="str">
        <f>IF(H182="","",MID(VLOOKUP(H182,Codigo_Material!$A$2:$C$6426,3,0),1,25))</f>
        <v/>
      </c>
      <c r="L182" s="19"/>
      <c r="M182" s="20"/>
      <c r="N182" s="1"/>
      <c r="O182" s="2"/>
      <c r="P182" s="58"/>
      <c r="Q182" s="58"/>
      <c r="R182" s="58"/>
      <c r="S182" s="55"/>
      <c r="T182" s="36"/>
    </row>
    <row r="183" spans="1:20" s="37" customFormat="1" x14ac:dyDescent="0.25">
      <c r="A183" s="33"/>
      <c r="B183" s="54" t="str">
        <f t="shared" si="10"/>
        <v>K4B6</v>
      </c>
      <c r="C183" s="56" t="str">
        <f t="shared" si="11"/>
        <v>OBRA</v>
      </c>
      <c r="D183" s="56"/>
      <c r="E183" s="54" t="str">
        <f t="shared" si="12"/>
        <v/>
      </c>
      <c r="F183" s="22" t="str">
        <f t="shared" si="13"/>
        <v/>
      </c>
      <c r="G183" s="22" t="str">
        <f t="shared" si="14"/>
        <v/>
      </c>
      <c r="H183" s="49"/>
      <c r="I183" s="57" t="str">
        <f>IF(H183="","",MID(VLOOKUP(H183,Codigo_Material!$A$2:$C$9999,2,0),1,30))</f>
        <v/>
      </c>
      <c r="J183" s="57"/>
      <c r="K183" s="54" t="str">
        <f>IF(H183="","",MID(VLOOKUP(H183,Codigo_Material!$A$2:$C$6426,3,0),1,25))</f>
        <v/>
      </c>
      <c r="L183" s="19"/>
      <c r="M183" s="20"/>
      <c r="N183" s="1"/>
      <c r="O183" s="2"/>
      <c r="P183" s="58"/>
      <c r="Q183" s="58"/>
      <c r="R183" s="58"/>
      <c r="S183" s="55"/>
      <c r="T183" s="36"/>
    </row>
    <row r="184" spans="1:20" s="37" customFormat="1" x14ac:dyDescent="0.25">
      <c r="A184" s="33"/>
      <c r="B184" s="54" t="str">
        <f t="shared" si="10"/>
        <v>K4B6</v>
      </c>
      <c r="C184" s="56" t="str">
        <f t="shared" si="11"/>
        <v>OBRA</v>
      </c>
      <c r="D184" s="56"/>
      <c r="E184" s="54" t="str">
        <f t="shared" si="12"/>
        <v/>
      </c>
      <c r="F184" s="22" t="str">
        <f t="shared" si="13"/>
        <v/>
      </c>
      <c r="G184" s="22" t="str">
        <f t="shared" si="14"/>
        <v/>
      </c>
      <c r="H184" s="49"/>
      <c r="I184" s="57" t="str">
        <f>IF(H184="","",MID(VLOOKUP(H184,Codigo_Material!$A$2:$C$9999,2,0),1,30))</f>
        <v/>
      </c>
      <c r="J184" s="57"/>
      <c r="K184" s="54" t="str">
        <f>IF(H184="","",MID(VLOOKUP(H184,Codigo_Material!$A$2:$C$6426,3,0),1,25))</f>
        <v/>
      </c>
      <c r="L184" s="19"/>
      <c r="M184" s="20"/>
      <c r="N184" s="1"/>
      <c r="O184" s="2"/>
      <c r="P184" s="58"/>
      <c r="Q184" s="58"/>
      <c r="R184" s="58"/>
      <c r="S184" s="55"/>
      <c r="T184" s="36"/>
    </row>
    <row r="185" spans="1:20" s="37" customFormat="1" x14ac:dyDescent="0.25">
      <c r="A185" s="33"/>
      <c r="B185" s="54" t="str">
        <f t="shared" si="10"/>
        <v>K4B6</v>
      </c>
      <c r="C185" s="56" t="str">
        <f t="shared" si="11"/>
        <v>OBRA</v>
      </c>
      <c r="D185" s="56"/>
      <c r="E185" s="54" t="str">
        <f t="shared" si="12"/>
        <v/>
      </c>
      <c r="F185" s="22" t="str">
        <f t="shared" si="13"/>
        <v/>
      </c>
      <c r="G185" s="22" t="str">
        <f t="shared" si="14"/>
        <v/>
      </c>
      <c r="H185" s="49"/>
      <c r="I185" s="57" t="str">
        <f>IF(H185="","",MID(VLOOKUP(H185,Codigo_Material!$A$2:$C$9999,2,0),1,30))</f>
        <v/>
      </c>
      <c r="J185" s="57"/>
      <c r="K185" s="54" t="str">
        <f>IF(H185="","",MID(VLOOKUP(H185,Codigo_Material!$A$2:$C$6426,3,0),1,25))</f>
        <v/>
      </c>
      <c r="L185" s="19"/>
      <c r="M185" s="20"/>
      <c r="N185" s="1"/>
      <c r="O185" s="2"/>
      <c r="P185" s="58"/>
      <c r="Q185" s="58"/>
      <c r="R185" s="58"/>
      <c r="S185" s="55"/>
      <c r="T185" s="36"/>
    </row>
    <row r="186" spans="1:20" s="37" customFormat="1" x14ac:dyDescent="0.25">
      <c r="A186" s="33"/>
      <c r="B186" s="54" t="str">
        <f t="shared" si="10"/>
        <v>K4B6</v>
      </c>
      <c r="C186" s="56" t="str">
        <f t="shared" si="11"/>
        <v>OBRA</v>
      </c>
      <c r="D186" s="56"/>
      <c r="E186" s="54" t="str">
        <f t="shared" si="12"/>
        <v/>
      </c>
      <c r="F186" s="22" t="str">
        <f t="shared" si="13"/>
        <v/>
      </c>
      <c r="G186" s="22" t="str">
        <f t="shared" si="14"/>
        <v/>
      </c>
      <c r="H186" s="49"/>
      <c r="I186" s="57" t="str">
        <f>IF(H186="","",MID(VLOOKUP(H186,Codigo_Material!$A$2:$C$9999,2,0),1,30))</f>
        <v/>
      </c>
      <c r="J186" s="57"/>
      <c r="K186" s="54" t="str">
        <f>IF(H186="","",MID(VLOOKUP(H186,Codigo_Material!$A$2:$C$6426,3,0),1,25))</f>
        <v/>
      </c>
      <c r="L186" s="19"/>
      <c r="M186" s="20"/>
      <c r="N186" s="1"/>
      <c r="O186" s="2"/>
      <c r="P186" s="58"/>
      <c r="Q186" s="58"/>
      <c r="R186" s="58"/>
      <c r="S186" s="55"/>
      <c r="T186" s="36"/>
    </row>
    <row r="187" spans="1:20" s="37" customFormat="1" x14ac:dyDescent="0.25">
      <c r="A187" s="33"/>
      <c r="B187" s="54" t="str">
        <f t="shared" si="10"/>
        <v>K4B6</v>
      </c>
      <c r="C187" s="56" t="str">
        <f t="shared" si="11"/>
        <v>OBRA</v>
      </c>
      <c r="D187" s="56"/>
      <c r="E187" s="54" t="str">
        <f t="shared" si="12"/>
        <v/>
      </c>
      <c r="F187" s="22" t="str">
        <f t="shared" si="13"/>
        <v/>
      </c>
      <c r="G187" s="22" t="str">
        <f t="shared" si="14"/>
        <v/>
      </c>
      <c r="H187" s="49"/>
      <c r="I187" s="57" t="str">
        <f>IF(H187="","",MID(VLOOKUP(H187,Codigo_Material!$A$2:$C$9999,2,0),1,30))</f>
        <v/>
      </c>
      <c r="J187" s="57"/>
      <c r="K187" s="54" t="str">
        <f>IF(H187="","",MID(VLOOKUP(H187,Codigo_Material!$A$2:$C$6426,3,0),1,25))</f>
        <v/>
      </c>
      <c r="L187" s="19"/>
      <c r="M187" s="20"/>
      <c r="N187" s="1"/>
      <c r="O187" s="2"/>
      <c r="P187" s="58"/>
      <c r="Q187" s="58"/>
      <c r="R187" s="58"/>
      <c r="S187" s="55"/>
      <c r="T187" s="36"/>
    </row>
    <row r="188" spans="1:20" s="37" customFormat="1" x14ac:dyDescent="0.25">
      <c r="A188" s="33"/>
      <c r="B188" s="54" t="str">
        <f t="shared" si="10"/>
        <v>K4B6</v>
      </c>
      <c r="C188" s="56" t="str">
        <f t="shared" si="11"/>
        <v>OBRA</v>
      </c>
      <c r="D188" s="56"/>
      <c r="E188" s="54" t="str">
        <f t="shared" si="12"/>
        <v/>
      </c>
      <c r="F188" s="22" t="str">
        <f t="shared" si="13"/>
        <v/>
      </c>
      <c r="G188" s="22" t="str">
        <f t="shared" si="14"/>
        <v/>
      </c>
      <c r="H188" s="49"/>
      <c r="I188" s="57" t="str">
        <f>IF(H188="","",MID(VLOOKUP(H188,Codigo_Material!$A$2:$C$9999,2,0),1,30))</f>
        <v/>
      </c>
      <c r="J188" s="57"/>
      <c r="K188" s="54" t="str">
        <f>IF(H188="","",MID(VLOOKUP(H188,Codigo_Material!$A$2:$C$6426,3,0),1,25))</f>
        <v/>
      </c>
      <c r="L188" s="19"/>
      <c r="M188" s="20"/>
      <c r="N188" s="1"/>
      <c r="O188" s="2"/>
      <c r="P188" s="58"/>
      <c r="Q188" s="58"/>
      <c r="R188" s="58"/>
      <c r="S188" s="55"/>
      <c r="T188" s="36"/>
    </row>
    <row r="189" spans="1:20" s="37" customFormat="1" x14ac:dyDescent="0.25">
      <c r="A189" s="33"/>
      <c r="B189" s="54" t="str">
        <f t="shared" si="10"/>
        <v>K4B6</v>
      </c>
      <c r="C189" s="56" t="str">
        <f t="shared" si="11"/>
        <v>OBRA</v>
      </c>
      <c r="D189" s="56"/>
      <c r="E189" s="54" t="str">
        <f t="shared" si="12"/>
        <v/>
      </c>
      <c r="F189" s="22" t="str">
        <f t="shared" si="13"/>
        <v/>
      </c>
      <c r="G189" s="22" t="str">
        <f t="shared" si="14"/>
        <v/>
      </c>
      <c r="H189" s="49"/>
      <c r="I189" s="57" t="str">
        <f>IF(H189="","",MID(VLOOKUP(H189,Codigo_Material!$A$2:$C$9999,2,0),1,30))</f>
        <v/>
      </c>
      <c r="J189" s="57"/>
      <c r="K189" s="54" t="str">
        <f>IF(H189="","",MID(VLOOKUP(H189,Codigo_Material!$A$2:$C$6426,3,0),1,25))</f>
        <v/>
      </c>
      <c r="L189" s="19"/>
      <c r="M189" s="20"/>
      <c r="N189" s="1"/>
      <c r="O189" s="2"/>
      <c r="P189" s="58"/>
      <c r="Q189" s="58"/>
      <c r="R189" s="58"/>
      <c r="S189" s="55"/>
      <c r="T189" s="36"/>
    </row>
    <row r="190" spans="1:20" s="37" customFormat="1" x14ac:dyDescent="0.25">
      <c r="A190" s="33"/>
      <c r="B190" s="54" t="str">
        <f t="shared" si="10"/>
        <v>K4B6</v>
      </c>
      <c r="C190" s="56" t="str">
        <f t="shared" si="11"/>
        <v>OBRA</v>
      </c>
      <c r="D190" s="56"/>
      <c r="E190" s="54" t="str">
        <f t="shared" si="12"/>
        <v/>
      </c>
      <c r="F190" s="22" t="str">
        <f t="shared" si="13"/>
        <v/>
      </c>
      <c r="G190" s="22" t="str">
        <f t="shared" si="14"/>
        <v/>
      </c>
      <c r="H190" s="49"/>
      <c r="I190" s="57" t="str">
        <f>IF(H190="","",MID(VLOOKUP(H190,Codigo_Material!$A$2:$C$9999,2,0),1,30))</f>
        <v/>
      </c>
      <c r="J190" s="57"/>
      <c r="K190" s="54" t="str">
        <f>IF(H190="","",MID(VLOOKUP(H190,Codigo_Material!$A$2:$C$6426,3,0),1,25))</f>
        <v/>
      </c>
      <c r="L190" s="19"/>
      <c r="M190" s="20"/>
      <c r="N190" s="1"/>
      <c r="O190" s="2"/>
      <c r="P190" s="58"/>
      <c r="Q190" s="58"/>
      <c r="R190" s="58"/>
      <c r="S190" s="55"/>
      <c r="T190" s="36"/>
    </row>
    <row r="191" spans="1:20" s="37" customFormat="1" x14ac:dyDescent="0.25">
      <c r="A191" s="33"/>
      <c r="B191" s="54" t="str">
        <f t="shared" si="10"/>
        <v>K4B6</v>
      </c>
      <c r="C191" s="56" t="str">
        <f t="shared" si="11"/>
        <v>OBRA</v>
      </c>
      <c r="D191" s="56"/>
      <c r="E191" s="54" t="str">
        <f t="shared" si="12"/>
        <v/>
      </c>
      <c r="F191" s="22" t="str">
        <f t="shared" si="13"/>
        <v/>
      </c>
      <c r="G191" s="22" t="str">
        <f t="shared" si="14"/>
        <v/>
      </c>
      <c r="H191" s="49"/>
      <c r="I191" s="57" t="str">
        <f>IF(H191="","",MID(VLOOKUP(H191,Codigo_Material!$A$2:$C$9999,2,0),1,30))</f>
        <v/>
      </c>
      <c r="J191" s="57"/>
      <c r="K191" s="54" t="str">
        <f>IF(H191="","",MID(VLOOKUP(H191,Codigo_Material!$A$2:$C$6426,3,0),1,25))</f>
        <v/>
      </c>
      <c r="L191" s="19"/>
      <c r="M191" s="20"/>
      <c r="N191" s="1"/>
      <c r="O191" s="2"/>
      <c r="P191" s="58"/>
      <c r="Q191" s="58"/>
      <c r="R191" s="58"/>
      <c r="S191" s="55"/>
      <c r="T191" s="36"/>
    </row>
    <row r="192" spans="1:20" s="37" customFormat="1" x14ac:dyDescent="0.25">
      <c r="A192" s="33"/>
      <c r="B192" s="54" t="str">
        <f t="shared" si="10"/>
        <v>K4B6</v>
      </c>
      <c r="C192" s="56" t="str">
        <f t="shared" si="11"/>
        <v>OBRA</v>
      </c>
      <c r="D192" s="56"/>
      <c r="E192" s="54" t="str">
        <f t="shared" si="12"/>
        <v/>
      </c>
      <c r="F192" s="22" t="str">
        <f t="shared" si="13"/>
        <v/>
      </c>
      <c r="G192" s="22" t="str">
        <f t="shared" si="14"/>
        <v/>
      </c>
      <c r="H192" s="49"/>
      <c r="I192" s="57" t="str">
        <f>IF(H192="","",MID(VLOOKUP(H192,Codigo_Material!$A$2:$C$9999,2,0),1,30))</f>
        <v/>
      </c>
      <c r="J192" s="57"/>
      <c r="K192" s="54" t="str">
        <f>IF(H192="","",MID(VLOOKUP(H192,Codigo_Material!$A$2:$C$6426,3,0),1,25))</f>
        <v/>
      </c>
      <c r="L192" s="19"/>
      <c r="M192" s="20"/>
      <c r="N192" s="1"/>
      <c r="O192" s="2"/>
      <c r="P192" s="58"/>
      <c r="Q192" s="58"/>
      <c r="R192" s="58"/>
      <c r="S192" s="55"/>
      <c r="T192" s="36"/>
    </row>
    <row r="193" spans="1:20" s="37" customFormat="1" x14ac:dyDescent="0.25">
      <c r="A193" s="33"/>
      <c r="B193" s="54" t="str">
        <f t="shared" si="10"/>
        <v>K4B6</v>
      </c>
      <c r="C193" s="56" t="str">
        <f t="shared" si="11"/>
        <v>OBRA</v>
      </c>
      <c r="D193" s="56"/>
      <c r="E193" s="54" t="str">
        <f t="shared" si="12"/>
        <v/>
      </c>
      <c r="F193" s="22" t="str">
        <f t="shared" si="13"/>
        <v/>
      </c>
      <c r="G193" s="22" t="str">
        <f t="shared" si="14"/>
        <v/>
      </c>
      <c r="H193" s="49"/>
      <c r="I193" s="57" t="str">
        <f>IF(H193="","",MID(VLOOKUP(H193,Codigo_Material!$A$2:$C$9999,2,0),1,30))</f>
        <v/>
      </c>
      <c r="J193" s="57"/>
      <c r="K193" s="54" t="str">
        <f>IF(H193="","",MID(VLOOKUP(H193,Codigo_Material!$A$2:$C$6426,3,0),1,25))</f>
        <v/>
      </c>
      <c r="L193" s="19"/>
      <c r="M193" s="20"/>
      <c r="N193" s="1"/>
      <c r="O193" s="2"/>
      <c r="P193" s="58"/>
      <c r="Q193" s="58"/>
      <c r="R193" s="58"/>
      <c r="S193" s="55"/>
      <c r="T193" s="36"/>
    </row>
    <row r="194" spans="1:20" s="37" customFormat="1" x14ac:dyDescent="0.25">
      <c r="A194" s="33"/>
      <c r="B194" s="54" t="str">
        <f t="shared" si="10"/>
        <v>K4B6</v>
      </c>
      <c r="C194" s="56" t="str">
        <f t="shared" si="11"/>
        <v>OBRA</v>
      </c>
      <c r="D194" s="56"/>
      <c r="E194" s="54" t="str">
        <f t="shared" si="12"/>
        <v/>
      </c>
      <c r="F194" s="22" t="str">
        <f t="shared" si="13"/>
        <v/>
      </c>
      <c r="G194" s="22" t="str">
        <f t="shared" si="14"/>
        <v/>
      </c>
      <c r="H194" s="49"/>
      <c r="I194" s="57" t="str">
        <f>IF(H194="","",MID(VLOOKUP(H194,Codigo_Material!$A$2:$C$9999,2,0),1,30))</f>
        <v/>
      </c>
      <c r="J194" s="57"/>
      <c r="K194" s="54" t="str">
        <f>IF(H194="","",MID(VLOOKUP(H194,Codigo_Material!$A$2:$C$6426,3,0),1,25))</f>
        <v/>
      </c>
      <c r="L194" s="19"/>
      <c r="M194" s="20"/>
      <c r="N194" s="1"/>
      <c r="O194" s="2"/>
      <c r="P194" s="58"/>
      <c r="Q194" s="58"/>
      <c r="R194" s="58"/>
      <c r="S194" s="55"/>
      <c r="T194" s="36"/>
    </row>
    <row r="195" spans="1:20" s="37" customFormat="1" x14ac:dyDescent="0.25">
      <c r="A195" s="33"/>
      <c r="B195" s="54" t="str">
        <f t="shared" si="10"/>
        <v>K4B6</v>
      </c>
      <c r="C195" s="56" t="str">
        <f t="shared" si="11"/>
        <v>OBRA</v>
      </c>
      <c r="D195" s="56"/>
      <c r="E195" s="54" t="str">
        <f t="shared" si="12"/>
        <v/>
      </c>
      <c r="F195" s="22" t="str">
        <f t="shared" si="13"/>
        <v/>
      </c>
      <c r="G195" s="22" t="str">
        <f t="shared" si="14"/>
        <v/>
      </c>
      <c r="H195" s="49"/>
      <c r="I195" s="57" t="str">
        <f>IF(H195="","",MID(VLOOKUP(H195,Codigo_Material!$A$2:$C$9999,2,0),1,30))</f>
        <v/>
      </c>
      <c r="J195" s="57"/>
      <c r="K195" s="54" t="str">
        <f>IF(H195="","",MID(VLOOKUP(H195,Codigo_Material!$A$2:$C$6426,3,0),1,25))</f>
        <v/>
      </c>
      <c r="L195" s="19"/>
      <c r="M195" s="20"/>
      <c r="N195" s="1"/>
      <c r="O195" s="2"/>
      <c r="P195" s="58"/>
      <c r="Q195" s="58"/>
      <c r="R195" s="58"/>
      <c r="S195" s="55"/>
      <c r="T195" s="36"/>
    </row>
    <row r="196" spans="1:20" s="37" customFormat="1" x14ac:dyDescent="0.25">
      <c r="A196" s="33"/>
      <c r="B196" s="54" t="str">
        <f t="shared" si="10"/>
        <v>K4B6</v>
      </c>
      <c r="C196" s="56" t="str">
        <f t="shared" si="11"/>
        <v>OBRA</v>
      </c>
      <c r="D196" s="56"/>
      <c r="E196" s="54" t="str">
        <f t="shared" si="12"/>
        <v/>
      </c>
      <c r="F196" s="22" t="str">
        <f t="shared" si="13"/>
        <v/>
      </c>
      <c r="G196" s="22" t="str">
        <f t="shared" si="14"/>
        <v/>
      </c>
      <c r="H196" s="49"/>
      <c r="I196" s="57" t="str">
        <f>IF(H196="","",MID(VLOOKUP(H196,Codigo_Material!$A$2:$C$9999,2,0),1,30))</f>
        <v/>
      </c>
      <c r="J196" s="57"/>
      <c r="K196" s="54" t="str">
        <f>IF(H196="","",MID(VLOOKUP(H196,Codigo_Material!$A$2:$C$6426,3,0),1,25))</f>
        <v/>
      </c>
      <c r="L196" s="19"/>
      <c r="M196" s="20"/>
      <c r="N196" s="1"/>
      <c r="O196" s="2"/>
      <c r="P196" s="58"/>
      <c r="Q196" s="58"/>
      <c r="R196" s="58"/>
      <c r="S196" s="55"/>
      <c r="T196" s="36"/>
    </row>
    <row r="197" spans="1:20" s="37" customFormat="1" x14ac:dyDescent="0.25">
      <c r="A197" s="33"/>
      <c r="B197" s="54" t="str">
        <f t="shared" si="10"/>
        <v>K4B6</v>
      </c>
      <c r="C197" s="56" t="str">
        <f t="shared" si="11"/>
        <v>OBRA</v>
      </c>
      <c r="D197" s="56"/>
      <c r="E197" s="54" t="str">
        <f t="shared" si="12"/>
        <v/>
      </c>
      <c r="F197" s="22" t="str">
        <f t="shared" si="13"/>
        <v/>
      </c>
      <c r="G197" s="22" t="str">
        <f t="shared" si="14"/>
        <v/>
      </c>
      <c r="H197" s="49"/>
      <c r="I197" s="57" t="str">
        <f>IF(H197="","",MID(VLOOKUP(H197,Codigo_Material!$A$2:$C$9999,2,0),1,30))</f>
        <v/>
      </c>
      <c r="J197" s="57"/>
      <c r="K197" s="54" t="str">
        <f>IF(H197="","",MID(VLOOKUP(H197,Codigo_Material!$A$2:$C$6426,3,0),1,25))</f>
        <v/>
      </c>
      <c r="L197" s="19"/>
      <c r="M197" s="20"/>
      <c r="N197" s="1"/>
      <c r="O197" s="2"/>
      <c r="P197" s="58"/>
      <c r="Q197" s="58"/>
      <c r="R197" s="58"/>
      <c r="S197" s="55"/>
      <c r="T197" s="36"/>
    </row>
    <row r="198" spans="1:20" s="37" customFormat="1" x14ac:dyDescent="0.25">
      <c r="A198" s="33"/>
      <c r="B198" s="54" t="str">
        <f t="shared" si="10"/>
        <v>K4B6</v>
      </c>
      <c r="C198" s="56" t="str">
        <f t="shared" si="11"/>
        <v>OBRA</v>
      </c>
      <c r="D198" s="56"/>
      <c r="E198" s="54" t="str">
        <f t="shared" si="12"/>
        <v/>
      </c>
      <c r="F198" s="22" t="str">
        <f t="shared" si="13"/>
        <v/>
      </c>
      <c r="G198" s="22" t="str">
        <f t="shared" si="14"/>
        <v/>
      </c>
      <c r="H198" s="49"/>
      <c r="I198" s="57" t="str">
        <f>IF(H198="","",MID(VLOOKUP(H198,Codigo_Material!$A$2:$C$9999,2,0),1,30))</f>
        <v/>
      </c>
      <c r="J198" s="57"/>
      <c r="K198" s="54" t="str">
        <f>IF(H198="","",MID(VLOOKUP(H198,Codigo_Material!$A$2:$C$6426,3,0),1,25))</f>
        <v/>
      </c>
      <c r="L198" s="19"/>
      <c r="M198" s="20"/>
      <c r="N198" s="1"/>
      <c r="O198" s="2"/>
      <c r="P198" s="58"/>
      <c r="Q198" s="58"/>
      <c r="R198" s="58"/>
      <c r="S198" s="55"/>
      <c r="T198" s="36"/>
    </row>
    <row r="199" spans="1:20" s="37" customFormat="1" x14ac:dyDescent="0.25">
      <c r="A199" s="33"/>
      <c r="B199" s="54" t="str">
        <f t="shared" si="10"/>
        <v>K4B6</v>
      </c>
      <c r="C199" s="56" t="str">
        <f t="shared" si="11"/>
        <v>OBRA</v>
      </c>
      <c r="D199" s="56"/>
      <c r="E199" s="54" t="str">
        <f t="shared" si="12"/>
        <v/>
      </c>
      <c r="F199" s="22" t="str">
        <f t="shared" si="13"/>
        <v/>
      </c>
      <c r="G199" s="22" t="str">
        <f t="shared" si="14"/>
        <v/>
      </c>
      <c r="H199" s="49"/>
      <c r="I199" s="57" t="str">
        <f>IF(H199="","",MID(VLOOKUP(H199,Codigo_Material!$A$2:$C$9999,2,0),1,30))</f>
        <v/>
      </c>
      <c r="J199" s="57"/>
      <c r="K199" s="54" t="str">
        <f>IF(H199="","",MID(VLOOKUP(H199,Codigo_Material!$A$2:$C$6426,3,0),1,25))</f>
        <v/>
      </c>
      <c r="L199" s="19"/>
      <c r="M199" s="20"/>
      <c r="N199" s="1"/>
      <c r="O199" s="2"/>
      <c r="P199" s="58"/>
      <c r="Q199" s="58"/>
      <c r="R199" s="58"/>
      <c r="S199" s="55"/>
      <c r="T199" s="36"/>
    </row>
    <row r="200" spans="1:20" s="37" customFormat="1" x14ac:dyDescent="0.25">
      <c r="A200" s="33"/>
      <c r="B200" s="54" t="str">
        <f t="shared" si="10"/>
        <v>K4B6</v>
      </c>
      <c r="C200" s="56" t="str">
        <f t="shared" si="11"/>
        <v>OBRA</v>
      </c>
      <c r="D200" s="56"/>
      <c r="E200" s="54" t="str">
        <f t="shared" si="12"/>
        <v/>
      </c>
      <c r="F200" s="22" t="str">
        <f t="shared" si="13"/>
        <v/>
      </c>
      <c r="G200" s="22" t="str">
        <f t="shared" si="14"/>
        <v/>
      </c>
      <c r="H200" s="49"/>
      <c r="I200" s="57" t="str">
        <f>IF(H200="","",MID(VLOOKUP(H200,Codigo_Material!$A$2:$C$9999,2,0),1,30))</f>
        <v/>
      </c>
      <c r="J200" s="57"/>
      <c r="K200" s="54" t="str">
        <f>IF(H200="","",MID(VLOOKUP(H200,Codigo_Material!$A$2:$C$6426,3,0),1,25))</f>
        <v/>
      </c>
      <c r="L200" s="19"/>
      <c r="M200" s="20"/>
      <c r="N200" s="1"/>
      <c r="O200" s="2"/>
      <c r="P200" s="58"/>
      <c r="Q200" s="58"/>
      <c r="R200" s="58"/>
      <c r="S200" s="55"/>
      <c r="T200" s="36"/>
    </row>
    <row r="201" spans="1:20" s="37" customFormat="1" x14ac:dyDescent="0.25">
      <c r="A201" s="33"/>
      <c r="B201" s="54" t="str">
        <f t="shared" si="10"/>
        <v>K4B6</v>
      </c>
      <c r="C201" s="56" t="str">
        <f t="shared" si="11"/>
        <v>OBRA</v>
      </c>
      <c r="D201" s="56"/>
      <c r="E201" s="54" t="str">
        <f t="shared" si="12"/>
        <v/>
      </c>
      <c r="F201" s="22" t="str">
        <f t="shared" si="13"/>
        <v/>
      </c>
      <c r="G201" s="22" t="str">
        <f t="shared" si="14"/>
        <v/>
      </c>
      <c r="H201" s="49"/>
      <c r="I201" s="57" t="str">
        <f>IF(H201="","",MID(VLOOKUP(H201,Codigo_Material!$A$2:$C$9999,2,0),1,30))</f>
        <v/>
      </c>
      <c r="J201" s="57"/>
      <c r="K201" s="54" t="str">
        <f>IF(H201="","",MID(VLOOKUP(H201,Codigo_Material!$A$2:$C$6426,3,0),1,25))</f>
        <v/>
      </c>
      <c r="L201" s="19"/>
      <c r="M201" s="20"/>
      <c r="N201" s="1"/>
      <c r="O201" s="2"/>
      <c r="P201" s="58"/>
      <c r="Q201" s="58"/>
      <c r="R201" s="58"/>
      <c r="S201" s="55"/>
      <c r="T201" s="36"/>
    </row>
    <row r="202" spans="1:20" s="37" customFormat="1" x14ac:dyDescent="0.25">
      <c r="A202" s="33"/>
      <c r="B202" s="54" t="str">
        <f t="shared" si="10"/>
        <v>K4B6</v>
      </c>
      <c r="C202" s="56" t="str">
        <f t="shared" si="11"/>
        <v>OBRA</v>
      </c>
      <c r="D202" s="56"/>
      <c r="E202" s="54" t="str">
        <f t="shared" si="12"/>
        <v/>
      </c>
      <c r="F202" s="22" t="str">
        <f t="shared" si="13"/>
        <v/>
      </c>
      <c r="G202" s="22" t="str">
        <f t="shared" si="14"/>
        <v/>
      </c>
      <c r="H202" s="49"/>
      <c r="I202" s="57" t="str">
        <f>IF(H202="","",MID(VLOOKUP(H202,Codigo_Material!$A$2:$C$9999,2,0),1,30))</f>
        <v/>
      </c>
      <c r="J202" s="57"/>
      <c r="K202" s="54" t="str">
        <f>IF(H202="","",MID(VLOOKUP(H202,Codigo_Material!$A$2:$C$6426,3,0),1,25))</f>
        <v/>
      </c>
      <c r="L202" s="19"/>
      <c r="M202" s="20"/>
      <c r="N202" s="1"/>
      <c r="O202" s="2"/>
      <c r="P202" s="58"/>
      <c r="Q202" s="58"/>
      <c r="R202" s="58"/>
      <c r="S202" s="55"/>
      <c r="T202" s="36"/>
    </row>
    <row r="203" spans="1:20" s="37" customFormat="1" x14ac:dyDescent="0.25">
      <c r="A203" s="33"/>
      <c r="B203" s="54" t="str">
        <f t="shared" ref="B203:B266" si="15">IF($D$5="","",$D$5)</f>
        <v>K4B6</v>
      </c>
      <c r="C203" s="56" t="str">
        <f t="shared" ref="C203:C266" si="16">IF($F$5="","",$F$5)</f>
        <v>OBRA</v>
      </c>
      <c r="D203" s="56"/>
      <c r="E203" s="54" t="str">
        <f t="shared" ref="E203:E266" si="17">IF($H$5="","",$H$5)</f>
        <v/>
      </c>
      <c r="F203" s="22" t="str">
        <f t="shared" ref="F203:F266" si="18">IF($P$7="","",$P$7)</f>
        <v/>
      </c>
      <c r="G203" s="22" t="str">
        <f t="shared" ref="G203:G266" si="19">IF($K$7="","",$K$7)</f>
        <v/>
      </c>
      <c r="H203" s="49"/>
      <c r="I203" s="57" t="str">
        <f>IF(H203="","",MID(VLOOKUP(H203,Codigo_Material!$A$2:$C$9999,2,0),1,30))</f>
        <v/>
      </c>
      <c r="J203" s="57"/>
      <c r="K203" s="54" t="str">
        <f>IF(H203="","",MID(VLOOKUP(H203,Codigo_Material!$A$2:$C$6426,3,0),1,25))</f>
        <v/>
      </c>
      <c r="L203" s="19"/>
      <c r="M203" s="20"/>
      <c r="N203" s="1"/>
      <c r="O203" s="2"/>
      <c r="P203" s="58"/>
      <c r="Q203" s="58"/>
      <c r="R203" s="58"/>
      <c r="S203" s="55"/>
      <c r="T203" s="36"/>
    </row>
    <row r="204" spans="1:20" s="37" customFormat="1" x14ac:dyDescent="0.25">
      <c r="A204" s="33"/>
      <c r="B204" s="54" t="str">
        <f t="shared" si="15"/>
        <v>K4B6</v>
      </c>
      <c r="C204" s="56" t="str">
        <f t="shared" si="16"/>
        <v>OBRA</v>
      </c>
      <c r="D204" s="56"/>
      <c r="E204" s="54" t="str">
        <f t="shared" si="17"/>
        <v/>
      </c>
      <c r="F204" s="22" t="str">
        <f t="shared" si="18"/>
        <v/>
      </c>
      <c r="G204" s="22" t="str">
        <f t="shared" si="19"/>
        <v/>
      </c>
      <c r="H204" s="49"/>
      <c r="I204" s="57" t="str">
        <f>IF(H204="","",MID(VLOOKUP(H204,Codigo_Material!$A$2:$C$9999,2,0),1,30))</f>
        <v/>
      </c>
      <c r="J204" s="57"/>
      <c r="K204" s="54" t="str">
        <f>IF(H204="","",MID(VLOOKUP(H204,Codigo_Material!$A$2:$C$6426,3,0),1,25))</f>
        <v/>
      </c>
      <c r="L204" s="19"/>
      <c r="M204" s="20"/>
      <c r="N204" s="1"/>
      <c r="O204" s="2"/>
      <c r="P204" s="58"/>
      <c r="Q204" s="58"/>
      <c r="R204" s="58"/>
      <c r="S204" s="55"/>
      <c r="T204" s="36"/>
    </row>
    <row r="205" spans="1:20" s="37" customFormat="1" x14ac:dyDescent="0.25">
      <c r="A205" s="33"/>
      <c r="B205" s="54" t="str">
        <f t="shared" si="15"/>
        <v>K4B6</v>
      </c>
      <c r="C205" s="56" t="str">
        <f t="shared" si="16"/>
        <v>OBRA</v>
      </c>
      <c r="D205" s="56"/>
      <c r="E205" s="54" t="str">
        <f t="shared" si="17"/>
        <v/>
      </c>
      <c r="F205" s="22" t="str">
        <f t="shared" si="18"/>
        <v/>
      </c>
      <c r="G205" s="22" t="str">
        <f t="shared" si="19"/>
        <v/>
      </c>
      <c r="H205" s="49"/>
      <c r="I205" s="57" t="str">
        <f>IF(H205="","",MID(VLOOKUP(H205,Codigo_Material!$A$2:$C$9999,2,0),1,30))</f>
        <v/>
      </c>
      <c r="J205" s="57"/>
      <c r="K205" s="54" t="str">
        <f>IF(H205="","",MID(VLOOKUP(H205,Codigo_Material!$A$2:$C$6426,3,0),1,25))</f>
        <v/>
      </c>
      <c r="L205" s="19"/>
      <c r="M205" s="20"/>
      <c r="N205" s="1"/>
      <c r="O205" s="2"/>
      <c r="P205" s="58"/>
      <c r="Q205" s="58"/>
      <c r="R205" s="58"/>
      <c r="S205" s="55"/>
      <c r="T205" s="36"/>
    </row>
    <row r="206" spans="1:20" s="37" customFormat="1" x14ac:dyDescent="0.25">
      <c r="A206" s="33"/>
      <c r="B206" s="54" t="str">
        <f t="shared" si="15"/>
        <v>K4B6</v>
      </c>
      <c r="C206" s="56" t="str">
        <f t="shared" si="16"/>
        <v>OBRA</v>
      </c>
      <c r="D206" s="56"/>
      <c r="E206" s="54" t="str">
        <f t="shared" si="17"/>
        <v/>
      </c>
      <c r="F206" s="22" t="str">
        <f t="shared" si="18"/>
        <v/>
      </c>
      <c r="G206" s="22" t="str">
        <f t="shared" si="19"/>
        <v/>
      </c>
      <c r="H206" s="49"/>
      <c r="I206" s="57" t="str">
        <f>IF(H206="","",MID(VLOOKUP(H206,Codigo_Material!$A$2:$C$9999,2,0),1,30))</f>
        <v/>
      </c>
      <c r="J206" s="57"/>
      <c r="K206" s="54" t="str">
        <f>IF(H206="","",MID(VLOOKUP(H206,Codigo_Material!$A$2:$C$6426,3,0),1,25))</f>
        <v/>
      </c>
      <c r="L206" s="19"/>
      <c r="M206" s="20"/>
      <c r="N206" s="1"/>
      <c r="O206" s="2"/>
      <c r="P206" s="58"/>
      <c r="Q206" s="58"/>
      <c r="R206" s="58"/>
      <c r="S206" s="55"/>
      <c r="T206" s="36"/>
    </row>
    <row r="207" spans="1:20" s="37" customFormat="1" x14ac:dyDescent="0.25">
      <c r="A207" s="33"/>
      <c r="B207" s="54" t="str">
        <f t="shared" si="15"/>
        <v>K4B6</v>
      </c>
      <c r="C207" s="56" t="str">
        <f t="shared" si="16"/>
        <v>OBRA</v>
      </c>
      <c r="D207" s="56"/>
      <c r="E207" s="54" t="str">
        <f t="shared" si="17"/>
        <v/>
      </c>
      <c r="F207" s="22" t="str">
        <f t="shared" si="18"/>
        <v/>
      </c>
      <c r="G207" s="22" t="str">
        <f t="shared" si="19"/>
        <v/>
      </c>
      <c r="H207" s="49"/>
      <c r="I207" s="57" t="str">
        <f>IF(H207="","",MID(VLOOKUP(H207,Codigo_Material!$A$2:$C$9999,2,0),1,30))</f>
        <v/>
      </c>
      <c r="J207" s="57"/>
      <c r="K207" s="54" t="str">
        <f>IF(H207="","",MID(VLOOKUP(H207,Codigo_Material!$A$2:$C$6426,3,0),1,25))</f>
        <v/>
      </c>
      <c r="L207" s="19"/>
      <c r="M207" s="20"/>
      <c r="N207" s="1"/>
      <c r="O207" s="2"/>
      <c r="P207" s="58"/>
      <c r="Q207" s="58"/>
      <c r="R207" s="58"/>
      <c r="S207" s="55"/>
      <c r="T207" s="36"/>
    </row>
    <row r="208" spans="1:20" s="37" customFormat="1" x14ac:dyDescent="0.25">
      <c r="A208" s="33"/>
      <c r="B208" s="54" t="str">
        <f t="shared" si="15"/>
        <v>K4B6</v>
      </c>
      <c r="C208" s="56" t="str">
        <f t="shared" si="16"/>
        <v>OBRA</v>
      </c>
      <c r="D208" s="56"/>
      <c r="E208" s="54" t="str">
        <f t="shared" si="17"/>
        <v/>
      </c>
      <c r="F208" s="22" t="str">
        <f t="shared" si="18"/>
        <v/>
      </c>
      <c r="G208" s="22" t="str">
        <f t="shared" si="19"/>
        <v/>
      </c>
      <c r="H208" s="49"/>
      <c r="I208" s="57" t="str">
        <f>IF(H208="","",MID(VLOOKUP(H208,Codigo_Material!$A$2:$C$9999,2,0),1,30))</f>
        <v/>
      </c>
      <c r="J208" s="57"/>
      <c r="K208" s="54" t="str">
        <f>IF(H208="","",MID(VLOOKUP(H208,Codigo_Material!$A$2:$C$6426,3,0),1,25))</f>
        <v/>
      </c>
      <c r="L208" s="19"/>
      <c r="M208" s="20"/>
      <c r="N208" s="1"/>
      <c r="O208" s="2"/>
      <c r="P208" s="58"/>
      <c r="Q208" s="58"/>
      <c r="R208" s="58"/>
      <c r="S208" s="55"/>
      <c r="T208" s="36"/>
    </row>
    <row r="209" spans="1:20" s="37" customFormat="1" x14ac:dyDescent="0.25">
      <c r="A209" s="33"/>
      <c r="B209" s="54" t="str">
        <f t="shared" si="15"/>
        <v>K4B6</v>
      </c>
      <c r="C209" s="56" t="str">
        <f t="shared" si="16"/>
        <v>OBRA</v>
      </c>
      <c r="D209" s="56"/>
      <c r="E209" s="54" t="str">
        <f t="shared" si="17"/>
        <v/>
      </c>
      <c r="F209" s="22" t="str">
        <f t="shared" si="18"/>
        <v/>
      </c>
      <c r="G209" s="22" t="str">
        <f t="shared" si="19"/>
        <v/>
      </c>
      <c r="H209" s="49"/>
      <c r="I209" s="57" t="str">
        <f>IF(H209="","",MID(VLOOKUP(H209,Codigo_Material!$A$2:$C$9999,2,0),1,30))</f>
        <v/>
      </c>
      <c r="J209" s="57"/>
      <c r="K209" s="54" t="str">
        <f>IF(H209="","",MID(VLOOKUP(H209,Codigo_Material!$A$2:$C$6426,3,0),1,25))</f>
        <v/>
      </c>
      <c r="L209" s="19"/>
      <c r="M209" s="20"/>
      <c r="N209" s="1"/>
      <c r="O209" s="2"/>
      <c r="P209" s="58"/>
      <c r="Q209" s="58"/>
      <c r="R209" s="58"/>
      <c r="S209" s="55"/>
      <c r="T209" s="36"/>
    </row>
    <row r="210" spans="1:20" s="37" customFormat="1" x14ac:dyDescent="0.25">
      <c r="A210" s="33"/>
      <c r="B210" s="54" t="str">
        <f t="shared" si="15"/>
        <v>K4B6</v>
      </c>
      <c r="C210" s="56" t="str">
        <f t="shared" si="16"/>
        <v>OBRA</v>
      </c>
      <c r="D210" s="56"/>
      <c r="E210" s="54" t="str">
        <f t="shared" si="17"/>
        <v/>
      </c>
      <c r="F210" s="22" t="str">
        <f t="shared" si="18"/>
        <v/>
      </c>
      <c r="G210" s="22" t="str">
        <f t="shared" si="19"/>
        <v/>
      </c>
      <c r="H210" s="49"/>
      <c r="I210" s="57" t="str">
        <f>IF(H210="","",MID(VLOOKUP(H210,Codigo_Material!$A$2:$C$9999,2,0),1,30))</f>
        <v/>
      </c>
      <c r="J210" s="57"/>
      <c r="K210" s="54" t="str">
        <f>IF(H210="","",MID(VLOOKUP(H210,Codigo_Material!$A$2:$C$6426,3,0),1,25))</f>
        <v/>
      </c>
      <c r="L210" s="19"/>
      <c r="M210" s="20"/>
      <c r="N210" s="1"/>
      <c r="O210" s="2"/>
      <c r="P210" s="58"/>
      <c r="Q210" s="58"/>
      <c r="R210" s="58"/>
      <c r="S210" s="55"/>
      <c r="T210" s="36"/>
    </row>
    <row r="211" spans="1:20" s="37" customFormat="1" x14ac:dyDescent="0.25">
      <c r="A211" s="33"/>
      <c r="B211" s="54" t="str">
        <f t="shared" si="15"/>
        <v>K4B6</v>
      </c>
      <c r="C211" s="56" t="str">
        <f t="shared" si="16"/>
        <v>OBRA</v>
      </c>
      <c r="D211" s="56"/>
      <c r="E211" s="54" t="str">
        <f t="shared" si="17"/>
        <v/>
      </c>
      <c r="F211" s="22" t="str">
        <f t="shared" si="18"/>
        <v/>
      </c>
      <c r="G211" s="22" t="str">
        <f t="shared" si="19"/>
        <v/>
      </c>
      <c r="H211" s="49"/>
      <c r="I211" s="57" t="str">
        <f>IF(H211="","",MID(VLOOKUP(H211,Codigo_Material!$A$2:$C$9999,2,0),1,30))</f>
        <v/>
      </c>
      <c r="J211" s="57"/>
      <c r="K211" s="54" t="str">
        <f>IF(H211="","",MID(VLOOKUP(H211,Codigo_Material!$A$2:$C$6426,3,0),1,25))</f>
        <v/>
      </c>
      <c r="L211" s="19"/>
      <c r="M211" s="20"/>
      <c r="N211" s="1"/>
      <c r="O211" s="2"/>
      <c r="P211" s="58"/>
      <c r="Q211" s="58"/>
      <c r="R211" s="58"/>
      <c r="S211" s="55"/>
      <c r="T211" s="36"/>
    </row>
    <row r="212" spans="1:20" s="37" customFormat="1" x14ac:dyDescent="0.25">
      <c r="A212" s="33"/>
      <c r="B212" s="54" t="str">
        <f t="shared" si="15"/>
        <v>K4B6</v>
      </c>
      <c r="C212" s="56" t="str">
        <f t="shared" si="16"/>
        <v>OBRA</v>
      </c>
      <c r="D212" s="56"/>
      <c r="E212" s="54" t="str">
        <f t="shared" si="17"/>
        <v/>
      </c>
      <c r="F212" s="22" t="str">
        <f t="shared" si="18"/>
        <v/>
      </c>
      <c r="G212" s="22" t="str">
        <f t="shared" si="19"/>
        <v/>
      </c>
      <c r="H212" s="49"/>
      <c r="I212" s="57" t="str">
        <f>IF(H212="","",MID(VLOOKUP(H212,Codigo_Material!$A$2:$C$9999,2,0),1,30))</f>
        <v/>
      </c>
      <c r="J212" s="57"/>
      <c r="K212" s="54" t="str">
        <f>IF(H212="","",MID(VLOOKUP(H212,Codigo_Material!$A$2:$C$6426,3,0),1,25))</f>
        <v/>
      </c>
      <c r="L212" s="19"/>
      <c r="M212" s="20"/>
      <c r="N212" s="1"/>
      <c r="O212" s="2"/>
      <c r="P212" s="58"/>
      <c r="Q212" s="58"/>
      <c r="R212" s="58"/>
      <c r="S212" s="55"/>
      <c r="T212" s="36"/>
    </row>
    <row r="213" spans="1:20" s="37" customFormat="1" x14ac:dyDescent="0.25">
      <c r="A213" s="33"/>
      <c r="B213" s="54" t="str">
        <f t="shared" si="15"/>
        <v>K4B6</v>
      </c>
      <c r="C213" s="56" t="str">
        <f t="shared" si="16"/>
        <v>OBRA</v>
      </c>
      <c r="D213" s="56"/>
      <c r="E213" s="54" t="str">
        <f t="shared" si="17"/>
        <v/>
      </c>
      <c r="F213" s="22" t="str">
        <f t="shared" si="18"/>
        <v/>
      </c>
      <c r="G213" s="22" t="str">
        <f t="shared" si="19"/>
        <v/>
      </c>
      <c r="H213" s="49"/>
      <c r="I213" s="57" t="str">
        <f>IF(H213="","",MID(VLOOKUP(H213,Codigo_Material!$A$2:$C$9999,2,0),1,30))</f>
        <v/>
      </c>
      <c r="J213" s="57"/>
      <c r="K213" s="54" t="str">
        <f>IF(H213="","",MID(VLOOKUP(H213,Codigo_Material!$A$2:$C$6426,3,0),1,25))</f>
        <v/>
      </c>
      <c r="L213" s="19"/>
      <c r="M213" s="20"/>
      <c r="N213" s="1"/>
      <c r="O213" s="2"/>
      <c r="P213" s="58"/>
      <c r="Q213" s="58"/>
      <c r="R213" s="58"/>
      <c r="S213" s="55"/>
      <c r="T213" s="36"/>
    </row>
    <row r="214" spans="1:20" s="37" customFormat="1" x14ac:dyDescent="0.25">
      <c r="A214" s="33"/>
      <c r="B214" s="54" t="str">
        <f t="shared" si="15"/>
        <v>K4B6</v>
      </c>
      <c r="C214" s="56" t="str">
        <f t="shared" si="16"/>
        <v>OBRA</v>
      </c>
      <c r="D214" s="56"/>
      <c r="E214" s="54" t="str">
        <f t="shared" si="17"/>
        <v/>
      </c>
      <c r="F214" s="22" t="str">
        <f t="shared" si="18"/>
        <v/>
      </c>
      <c r="G214" s="22" t="str">
        <f t="shared" si="19"/>
        <v/>
      </c>
      <c r="H214" s="49"/>
      <c r="I214" s="57" t="str">
        <f>IF(H214="","",MID(VLOOKUP(H214,Codigo_Material!$A$2:$C$9999,2,0),1,30))</f>
        <v/>
      </c>
      <c r="J214" s="57"/>
      <c r="K214" s="54" t="str">
        <f>IF(H214="","",MID(VLOOKUP(H214,Codigo_Material!$A$2:$C$6426,3,0),1,25))</f>
        <v/>
      </c>
      <c r="L214" s="19"/>
      <c r="M214" s="20"/>
      <c r="N214" s="1"/>
      <c r="O214" s="2"/>
      <c r="P214" s="58"/>
      <c r="Q214" s="58"/>
      <c r="R214" s="58"/>
      <c r="S214" s="55"/>
      <c r="T214" s="36"/>
    </row>
    <row r="215" spans="1:20" s="37" customFormat="1" x14ac:dyDescent="0.25">
      <c r="A215" s="33"/>
      <c r="B215" s="54" t="str">
        <f t="shared" si="15"/>
        <v>K4B6</v>
      </c>
      <c r="C215" s="56" t="str">
        <f t="shared" si="16"/>
        <v>OBRA</v>
      </c>
      <c r="D215" s="56"/>
      <c r="E215" s="54" t="str">
        <f t="shared" si="17"/>
        <v/>
      </c>
      <c r="F215" s="22" t="str">
        <f t="shared" si="18"/>
        <v/>
      </c>
      <c r="G215" s="22" t="str">
        <f t="shared" si="19"/>
        <v/>
      </c>
      <c r="H215" s="49"/>
      <c r="I215" s="57" t="str">
        <f>IF(H215="","",MID(VLOOKUP(H215,Codigo_Material!$A$2:$C$9999,2,0),1,30))</f>
        <v/>
      </c>
      <c r="J215" s="57"/>
      <c r="K215" s="54" t="str">
        <f>IF(H215="","",MID(VLOOKUP(H215,Codigo_Material!$A$2:$C$6426,3,0),1,25))</f>
        <v/>
      </c>
      <c r="L215" s="19"/>
      <c r="M215" s="20"/>
      <c r="N215" s="1"/>
      <c r="O215" s="2"/>
      <c r="P215" s="58"/>
      <c r="Q215" s="58"/>
      <c r="R215" s="58"/>
      <c r="S215" s="55"/>
      <c r="T215" s="36"/>
    </row>
    <row r="216" spans="1:20" s="37" customFormat="1" x14ac:dyDescent="0.25">
      <c r="A216" s="33"/>
      <c r="B216" s="54" t="str">
        <f t="shared" si="15"/>
        <v>K4B6</v>
      </c>
      <c r="C216" s="56" t="str">
        <f t="shared" si="16"/>
        <v>OBRA</v>
      </c>
      <c r="D216" s="56"/>
      <c r="E216" s="54" t="str">
        <f t="shared" si="17"/>
        <v/>
      </c>
      <c r="F216" s="22" t="str">
        <f t="shared" si="18"/>
        <v/>
      </c>
      <c r="G216" s="22" t="str">
        <f t="shared" si="19"/>
        <v/>
      </c>
      <c r="H216" s="49"/>
      <c r="I216" s="57" t="str">
        <f>IF(H216="","",MID(VLOOKUP(H216,Codigo_Material!$A$2:$C$9999,2,0),1,30))</f>
        <v/>
      </c>
      <c r="J216" s="57"/>
      <c r="K216" s="54" t="str">
        <f>IF(H216="","",MID(VLOOKUP(H216,Codigo_Material!$A$2:$C$6426,3,0),1,25))</f>
        <v/>
      </c>
      <c r="L216" s="19"/>
      <c r="M216" s="20"/>
      <c r="N216" s="1"/>
      <c r="O216" s="2"/>
      <c r="P216" s="58"/>
      <c r="Q216" s="58"/>
      <c r="R216" s="58"/>
      <c r="S216" s="55"/>
      <c r="T216" s="36"/>
    </row>
    <row r="217" spans="1:20" s="37" customFormat="1" x14ac:dyDescent="0.25">
      <c r="A217" s="33"/>
      <c r="B217" s="54" t="str">
        <f t="shared" si="15"/>
        <v>K4B6</v>
      </c>
      <c r="C217" s="56" t="str">
        <f t="shared" si="16"/>
        <v>OBRA</v>
      </c>
      <c r="D217" s="56"/>
      <c r="E217" s="54" t="str">
        <f t="shared" si="17"/>
        <v/>
      </c>
      <c r="F217" s="22" t="str">
        <f t="shared" si="18"/>
        <v/>
      </c>
      <c r="G217" s="22" t="str">
        <f t="shared" si="19"/>
        <v/>
      </c>
      <c r="H217" s="49"/>
      <c r="I217" s="57" t="str">
        <f>IF(H217="","",MID(VLOOKUP(H217,Codigo_Material!$A$2:$C$9999,2,0),1,30))</f>
        <v/>
      </c>
      <c r="J217" s="57"/>
      <c r="K217" s="54" t="str">
        <f>IF(H217="","",MID(VLOOKUP(H217,Codigo_Material!$A$2:$C$6426,3,0),1,25))</f>
        <v/>
      </c>
      <c r="L217" s="19"/>
      <c r="M217" s="20"/>
      <c r="N217" s="1"/>
      <c r="O217" s="2"/>
      <c r="P217" s="58"/>
      <c r="Q217" s="58"/>
      <c r="R217" s="58"/>
      <c r="S217" s="55"/>
      <c r="T217" s="36"/>
    </row>
    <row r="218" spans="1:20" s="37" customFormat="1" x14ac:dyDescent="0.25">
      <c r="A218" s="33"/>
      <c r="B218" s="54" t="str">
        <f t="shared" si="15"/>
        <v>K4B6</v>
      </c>
      <c r="C218" s="56" t="str">
        <f t="shared" si="16"/>
        <v>OBRA</v>
      </c>
      <c r="D218" s="56"/>
      <c r="E218" s="54" t="str">
        <f t="shared" si="17"/>
        <v/>
      </c>
      <c r="F218" s="22" t="str">
        <f t="shared" si="18"/>
        <v/>
      </c>
      <c r="G218" s="22" t="str">
        <f t="shared" si="19"/>
        <v/>
      </c>
      <c r="H218" s="49"/>
      <c r="I218" s="57" t="str">
        <f>IF(H218="","",MID(VLOOKUP(H218,Codigo_Material!$A$2:$C$9999,2,0),1,30))</f>
        <v/>
      </c>
      <c r="J218" s="57"/>
      <c r="K218" s="54" t="str">
        <f>IF(H218="","",MID(VLOOKUP(H218,Codigo_Material!$A$2:$C$6426,3,0),1,25))</f>
        <v/>
      </c>
      <c r="L218" s="19"/>
      <c r="M218" s="20"/>
      <c r="N218" s="1"/>
      <c r="O218" s="2"/>
      <c r="P218" s="58"/>
      <c r="Q218" s="58"/>
      <c r="R218" s="58"/>
      <c r="S218" s="55"/>
      <c r="T218" s="36"/>
    </row>
    <row r="219" spans="1:20" s="37" customFormat="1" x14ac:dyDescent="0.25">
      <c r="A219" s="33"/>
      <c r="B219" s="54" t="str">
        <f t="shared" si="15"/>
        <v>K4B6</v>
      </c>
      <c r="C219" s="56" t="str">
        <f t="shared" si="16"/>
        <v>OBRA</v>
      </c>
      <c r="D219" s="56"/>
      <c r="E219" s="54" t="str">
        <f t="shared" si="17"/>
        <v/>
      </c>
      <c r="F219" s="22" t="str">
        <f t="shared" si="18"/>
        <v/>
      </c>
      <c r="G219" s="22" t="str">
        <f t="shared" si="19"/>
        <v/>
      </c>
      <c r="H219" s="49"/>
      <c r="I219" s="57" t="str">
        <f>IF(H219="","",MID(VLOOKUP(H219,Codigo_Material!$A$2:$C$9999,2,0),1,30))</f>
        <v/>
      </c>
      <c r="J219" s="57"/>
      <c r="K219" s="54" t="str">
        <f>IF(H219="","",MID(VLOOKUP(H219,Codigo_Material!$A$2:$C$6426,3,0),1,25))</f>
        <v/>
      </c>
      <c r="L219" s="19"/>
      <c r="M219" s="20"/>
      <c r="N219" s="1"/>
      <c r="O219" s="2"/>
      <c r="P219" s="58"/>
      <c r="Q219" s="58"/>
      <c r="R219" s="58"/>
      <c r="S219" s="55"/>
      <c r="T219" s="36"/>
    </row>
    <row r="220" spans="1:20" s="37" customFormat="1" x14ac:dyDescent="0.25">
      <c r="A220" s="33"/>
      <c r="B220" s="54" t="str">
        <f t="shared" si="15"/>
        <v>K4B6</v>
      </c>
      <c r="C220" s="56" t="str">
        <f t="shared" si="16"/>
        <v>OBRA</v>
      </c>
      <c r="D220" s="56"/>
      <c r="E220" s="54" t="str">
        <f t="shared" si="17"/>
        <v/>
      </c>
      <c r="F220" s="22" t="str">
        <f t="shared" si="18"/>
        <v/>
      </c>
      <c r="G220" s="22" t="str">
        <f t="shared" si="19"/>
        <v/>
      </c>
      <c r="H220" s="49"/>
      <c r="I220" s="57" t="str">
        <f>IF(H220="","",MID(VLOOKUP(H220,Codigo_Material!$A$2:$C$9999,2,0),1,30))</f>
        <v/>
      </c>
      <c r="J220" s="57"/>
      <c r="K220" s="54" t="str">
        <f>IF(H220="","",MID(VLOOKUP(H220,Codigo_Material!$A$2:$C$6426,3,0),1,25))</f>
        <v/>
      </c>
      <c r="L220" s="19"/>
      <c r="M220" s="20"/>
      <c r="N220" s="1"/>
      <c r="O220" s="2"/>
      <c r="P220" s="58"/>
      <c r="Q220" s="58"/>
      <c r="R220" s="58"/>
      <c r="S220" s="55"/>
      <c r="T220" s="36"/>
    </row>
    <row r="221" spans="1:20" s="37" customFormat="1" x14ac:dyDescent="0.25">
      <c r="A221" s="33"/>
      <c r="B221" s="54" t="str">
        <f t="shared" si="15"/>
        <v>K4B6</v>
      </c>
      <c r="C221" s="56" t="str">
        <f t="shared" si="16"/>
        <v>OBRA</v>
      </c>
      <c r="D221" s="56"/>
      <c r="E221" s="54" t="str">
        <f t="shared" si="17"/>
        <v/>
      </c>
      <c r="F221" s="22" t="str">
        <f t="shared" si="18"/>
        <v/>
      </c>
      <c r="G221" s="22" t="str">
        <f t="shared" si="19"/>
        <v/>
      </c>
      <c r="H221" s="49"/>
      <c r="I221" s="57" t="str">
        <f>IF(H221="","",MID(VLOOKUP(H221,Codigo_Material!$A$2:$C$9999,2,0),1,30))</f>
        <v/>
      </c>
      <c r="J221" s="57"/>
      <c r="K221" s="54" t="str">
        <f>IF(H221="","",MID(VLOOKUP(H221,Codigo_Material!$A$2:$C$6426,3,0),1,25))</f>
        <v/>
      </c>
      <c r="L221" s="19"/>
      <c r="M221" s="20"/>
      <c r="N221" s="1"/>
      <c r="O221" s="2"/>
      <c r="P221" s="58"/>
      <c r="Q221" s="58"/>
      <c r="R221" s="58"/>
      <c r="S221" s="55"/>
      <c r="T221" s="36"/>
    </row>
    <row r="222" spans="1:20" s="37" customFormat="1" x14ac:dyDescent="0.25">
      <c r="A222" s="33"/>
      <c r="B222" s="54" t="str">
        <f t="shared" si="15"/>
        <v>K4B6</v>
      </c>
      <c r="C222" s="56" t="str">
        <f t="shared" si="16"/>
        <v>OBRA</v>
      </c>
      <c r="D222" s="56"/>
      <c r="E222" s="54" t="str">
        <f t="shared" si="17"/>
        <v/>
      </c>
      <c r="F222" s="22" t="str">
        <f t="shared" si="18"/>
        <v/>
      </c>
      <c r="G222" s="22" t="str">
        <f t="shared" si="19"/>
        <v/>
      </c>
      <c r="H222" s="49"/>
      <c r="I222" s="57" t="str">
        <f>IF(H222="","",MID(VLOOKUP(H222,Codigo_Material!$A$2:$C$9999,2,0),1,30))</f>
        <v/>
      </c>
      <c r="J222" s="57"/>
      <c r="K222" s="54" t="str">
        <f>IF(H222="","",MID(VLOOKUP(H222,Codigo_Material!$A$2:$C$6426,3,0),1,25))</f>
        <v/>
      </c>
      <c r="L222" s="19"/>
      <c r="M222" s="20"/>
      <c r="N222" s="1"/>
      <c r="O222" s="2"/>
      <c r="P222" s="58"/>
      <c r="Q222" s="58"/>
      <c r="R222" s="58"/>
      <c r="S222" s="55"/>
      <c r="T222" s="36"/>
    </row>
    <row r="223" spans="1:20" s="37" customFormat="1" x14ac:dyDescent="0.25">
      <c r="A223" s="33"/>
      <c r="B223" s="54" t="str">
        <f t="shared" si="15"/>
        <v>K4B6</v>
      </c>
      <c r="C223" s="56" t="str">
        <f t="shared" si="16"/>
        <v>OBRA</v>
      </c>
      <c r="D223" s="56"/>
      <c r="E223" s="54" t="str">
        <f t="shared" si="17"/>
        <v/>
      </c>
      <c r="F223" s="22" t="str">
        <f t="shared" si="18"/>
        <v/>
      </c>
      <c r="G223" s="22" t="str">
        <f t="shared" si="19"/>
        <v/>
      </c>
      <c r="H223" s="49"/>
      <c r="I223" s="57" t="str">
        <f>IF(H223="","",MID(VLOOKUP(H223,Codigo_Material!$A$2:$C$9999,2,0),1,30))</f>
        <v/>
      </c>
      <c r="J223" s="57"/>
      <c r="K223" s="54" t="str">
        <f>IF(H223="","",MID(VLOOKUP(H223,Codigo_Material!$A$2:$C$6426,3,0),1,25))</f>
        <v/>
      </c>
      <c r="L223" s="19"/>
      <c r="M223" s="20"/>
      <c r="N223" s="1"/>
      <c r="O223" s="2"/>
      <c r="P223" s="58"/>
      <c r="Q223" s="58"/>
      <c r="R223" s="58"/>
      <c r="S223" s="55"/>
      <c r="T223" s="36"/>
    </row>
    <row r="224" spans="1:20" s="37" customFormat="1" x14ac:dyDescent="0.25">
      <c r="A224" s="33"/>
      <c r="B224" s="54" t="str">
        <f t="shared" si="15"/>
        <v>K4B6</v>
      </c>
      <c r="C224" s="56" t="str">
        <f t="shared" si="16"/>
        <v>OBRA</v>
      </c>
      <c r="D224" s="56"/>
      <c r="E224" s="54" t="str">
        <f t="shared" si="17"/>
        <v/>
      </c>
      <c r="F224" s="22" t="str">
        <f t="shared" si="18"/>
        <v/>
      </c>
      <c r="G224" s="22" t="str">
        <f t="shared" si="19"/>
        <v/>
      </c>
      <c r="H224" s="49"/>
      <c r="I224" s="57" t="str">
        <f>IF(H224="","",MID(VLOOKUP(H224,Codigo_Material!$A$2:$C$9999,2,0),1,30))</f>
        <v/>
      </c>
      <c r="J224" s="57"/>
      <c r="K224" s="54" t="str">
        <f>IF(H224="","",MID(VLOOKUP(H224,Codigo_Material!$A$2:$C$6426,3,0),1,25))</f>
        <v/>
      </c>
      <c r="L224" s="19"/>
      <c r="M224" s="20"/>
      <c r="N224" s="1"/>
      <c r="O224" s="2"/>
      <c r="P224" s="58"/>
      <c r="Q224" s="58"/>
      <c r="R224" s="58"/>
      <c r="S224" s="55"/>
      <c r="T224" s="36"/>
    </row>
    <row r="225" spans="1:20" s="37" customFormat="1" x14ac:dyDescent="0.25">
      <c r="A225" s="33"/>
      <c r="B225" s="54" t="str">
        <f t="shared" si="15"/>
        <v>K4B6</v>
      </c>
      <c r="C225" s="56" t="str">
        <f t="shared" si="16"/>
        <v>OBRA</v>
      </c>
      <c r="D225" s="56"/>
      <c r="E225" s="54" t="str">
        <f t="shared" si="17"/>
        <v/>
      </c>
      <c r="F225" s="22" t="str">
        <f t="shared" si="18"/>
        <v/>
      </c>
      <c r="G225" s="22" t="str">
        <f t="shared" si="19"/>
        <v/>
      </c>
      <c r="H225" s="49"/>
      <c r="I225" s="57" t="str">
        <f>IF(H225="","",MID(VLOOKUP(H225,Codigo_Material!$A$2:$C$9999,2,0),1,30))</f>
        <v/>
      </c>
      <c r="J225" s="57"/>
      <c r="K225" s="54" t="str">
        <f>IF(H225="","",MID(VLOOKUP(H225,Codigo_Material!$A$2:$C$6426,3,0),1,25))</f>
        <v/>
      </c>
      <c r="L225" s="19"/>
      <c r="M225" s="20"/>
      <c r="N225" s="1"/>
      <c r="O225" s="2"/>
      <c r="P225" s="58"/>
      <c r="Q225" s="58"/>
      <c r="R225" s="58"/>
      <c r="S225" s="55"/>
      <c r="T225" s="36"/>
    </row>
    <row r="226" spans="1:20" s="37" customFormat="1" x14ac:dyDescent="0.25">
      <c r="A226" s="33"/>
      <c r="B226" s="54" t="str">
        <f t="shared" si="15"/>
        <v>K4B6</v>
      </c>
      <c r="C226" s="56" t="str">
        <f t="shared" si="16"/>
        <v>OBRA</v>
      </c>
      <c r="D226" s="56"/>
      <c r="E226" s="54" t="str">
        <f t="shared" si="17"/>
        <v/>
      </c>
      <c r="F226" s="22" t="str">
        <f t="shared" si="18"/>
        <v/>
      </c>
      <c r="G226" s="22" t="str">
        <f t="shared" si="19"/>
        <v/>
      </c>
      <c r="H226" s="49"/>
      <c r="I226" s="57" t="str">
        <f>IF(H226="","",MID(VLOOKUP(H226,Codigo_Material!$A$2:$C$9999,2,0),1,30))</f>
        <v/>
      </c>
      <c r="J226" s="57"/>
      <c r="K226" s="54" t="str">
        <f>IF(H226="","",MID(VLOOKUP(H226,Codigo_Material!$A$2:$C$6426,3,0),1,25))</f>
        <v/>
      </c>
      <c r="L226" s="19"/>
      <c r="M226" s="20"/>
      <c r="N226" s="1"/>
      <c r="O226" s="2"/>
      <c r="P226" s="58"/>
      <c r="Q226" s="58"/>
      <c r="R226" s="58"/>
      <c r="S226" s="55"/>
      <c r="T226" s="36"/>
    </row>
    <row r="227" spans="1:20" s="37" customFormat="1" x14ac:dyDescent="0.25">
      <c r="A227" s="33"/>
      <c r="B227" s="54" t="str">
        <f t="shared" si="15"/>
        <v>K4B6</v>
      </c>
      <c r="C227" s="56" t="str">
        <f t="shared" si="16"/>
        <v>OBRA</v>
      </c>
      <c r="D227" s="56"/>
      <c r="E227" s="54" t="str">
        <f t="shared" si="17"/>
        <v/>
      </c>
      <c r="F227" s="22" t="str">
        <f t="shared" si="18"/>
        <v/>
      </c>
      <c r="G227" s="22" t="str">
        <f t="shared" si="19"/>
        <v/>
      </c>
      <c r="H227" s="49"/>
      <c r="I227" s="57" t="str">
        <f>IF(H227="","",MID(VLOOKUP(H227,Codigo_Material!$A$2:$C$9999,2,0),1,30))</f>
        <v/>
      </c>
      <c r="J227" s="57"/>
      <c r="K227" s="54" t="str">
        <f>IF(H227="","",MID(VLOOKUP(H227,Codigo_Material!$A$2:$C$6426,3,0),1,25))</f>
        <v/>
      </c>
      <c r="L227" s="19"/>
      <c r="M227" s="20"/>
      <c r="N227" s="1"/>
      <c r="O227" s="2"/>
      <c r="P227" s="58"/>
      <c r="Q227" s="58"/>
      <c r="R227" s="58"/>
      <c r="S227" s="55"/>
      <c r="T227" s="36"/>
    </row>
    <row r="228" spans="1:20" s="37" customFormat="1" x14ac:dyDescent="0.25">
      <c r="A228" s="33"/>
      <c r="B228" s="54" t="str">
        <f t="shared" si="15"/>
        <v>K4B6</v>
      </c>
      <c r="C228" s="56" t="str">
        <f t="shared" si="16"/>
        <v>OBRA</v>
      </c>
      <c r="D228" s="56"/>
      <c r="E228" s="54" t="str">
        <f t="shared" si="17"/>
        <v/>
      </c>
      <c r="F228" s="22" t="str">
        <f t="shared" si="18"/>
        <v/>
      </c>
      <c r="G228" s="22" t="str">
        <f t="shared" si="19"/>
        <v/>
      </c>
      <c r="H228" s="49"/>
      <c r="I228" s="57" t="str">
        <f>IF(H228="","",MID(VLOOKUP(H228,Codigo_Material!$A$2:$C$9999,2,0),1,30))</f>
        <v/>
      </c>
      <c r="J228" s="57"/>
      <c r="K228" s="54" t="str">
        <f>IF(H228="","",MID(VLOOKUP(H228,Codigo_Material!$A$2:$C$6426,3,0),1,25))</f>
        <v/>
      </c>
      <c r="L228" s="19"/>
      <c r="M228" s="20"/>
      <c r="N228" s="1"/>
      <c r="O228" s="2"/>
      <c r="P228" s="58"/>
      <c r="Q228" s="58"/>
      <c r="R228" s="58"/>
      <c r="S228" s="55"/>
      <c r="T228" s="36"/>
    </row>
    <row r="229" spans="1:20" s="37" customFormat="1" x14ac:dyDescent="0.25">
      <c r="A229" s="33"/>
      <c r="B229" s="54" t="str">
        <f t="shared" si="15"/>
        <v>K4B6</v>
      </c>
      <c r="C229" s="56" t="str">
        <f t="shared" si="16"/>
        <v>OBRA</v>
      </c>
      <c r="D229" s="56"/>
      <c r="E229" s="54" t="str">
        <f t="shared" si="17"/>
        <v/>
      </c>
      <c r="F229" s="22" t="str">
        <f t="shared" si="18"/>
        <v/>
      </c>
      <c r="G229" s="22" t="str">
        <f t="shared" si="19"/>
        <v/>
      </c>
      <c r="H229" s="49"/>
      <c r="I229" s="57" t="str">
        <f>IF(H229="","",MID(VLOOKUP(H229,Codigo_Material!$A$2:$C$9999,2,0),1,30))</f>
        <v/>
      </c>
      <c r="J229" s="57"/>
      <c r="K229" s="54" t="str">
        <f>IF(H229="","",MID(VLOOKUP(H229,Codigo_Material!$A$2:$C$6426,3,0),1,25))</f>
        <v/>
      </c>
      <c r="L229" s="19"/>
      <c r="M229" s="20"/>
      <c r="N229" s="1"/>
      <c r="O229" s="2"/>
      <c r="P229" s="58"/>
      <c r="Q229" s="58"/>
      <c r="R229" s="58"/>
      <c r="S229" s="55"/>
      <c r="T229" s="36"/>
    </row>
    <row r="230" spans="1:20" s="37" customFormat="1" x14ac:dyDescent="0.25">
      <c r="A230" s="33"/>
      <c r="B230" s="54" t="str">
        <f t="shared" si="15"/>
        <v>K4B6</v>
      </c>
      <c r="C230" s="56" t="str">
        <f t="shared" si="16"/>
        <v>OBRA</v>
      </c>
      <c r="D230" s="56"/>
      <c r="E230" s="54" t="str">
        <f t="shared" si="17"/>
        <v/>
      </c>
      <c r="F230" s="22" t="str">
        <f t="shared" si="18"/>
        <v/>
      </c>
      <c r="G230" s="22" t="str">
        <f t="shared" si="19"/>
        <v/>
      </c>
      <c r="H230" s="49"/>
      <c r="I230" s="57" t="str">
        <f>IF(H230="","",MID(VLOOKUP(H230,Codigo_Material!$A$2:$C$9999,2,0),1,30))</f>
        <v/>
      </c>
      <c r="J230" s="57"/>
      <c r="K230" s="54" t="str">
        <f>IF(H230="","",MID(VLOOKUP(H230,Codigo_Material!$A$2:$C$6426,3,0),1,25))</f>
        <v/>
      </c>
      <c r="L230" s="19"/>
      <c r="M230" s="20"/>
      <c r="N230" s="1"/>
      <c r="O230" s="2"/>
      <c r="P230" s="58"/>
      <c r="Q230" s="58"/>
      <c r="R230" s="58"/>
      <c r="S230" s="55"/>
      <c r="T230" s="36"/>
    </row>
    <row r="231" spans="1:20" s="37" customFormat="1" x14ac:dyDescent="0.25">
      <c r="A231" s="33"/>
      <c r="B231" s="54" t="str">
        <f t="shared" si="15"/>
        <v>K4B6</v>
      </c>
      <c r="C231" s="56" t="str">
        <f t="shared" si="16"/>
        <v>OBRA</v>
      </c>
      <c r="D231" s="56"/>
      <c r="E231" s="54" t="str">
        <f t="shared" si="17"/>
        <v/>
      </c>
      <c r="F231" s="22" t="str">
        <f t="shared" si="18"/>
        <v/>
      </c>
      <c r="G231" s="22" t="str">
        <f t="shared" si="19"/>
        <v/>
      </c>
      <c r="H231" s="49"/>
      <c r="I231" s="57" t="str">
        <f>IF(H231="","",MID(VLOOKUP(H231,Codigo_Material!$A$2:$C$9999,2,0),1,30))</f>
        <v/>
      </c>
      <c r="J231" s="57"/>
      <c r="K231" s="54" t="str">
        <f>IF(H231="","",MID(VLOOKUP(H231,Codigo_Material!$A$2:$C$6426,3,0),1,25))</f>
        <v/>
      </c>
      <c r="L231" s="19"/>
      <c r="M231" s="20"/>
      <c r="N231" s="1"/>
      <c r="O231" s="2"/>
      <c r="P231" s="58"/>
      <c r="Q231" s="58"/>
      <c r="R231" s="58"/>
      <c r="S231" s="55"/>
      <c r="T231" s="36"/>
    </row>
    <row r="232" spans="1:20" s="37" customFormat="1" x14ac:dyDescent="0.25">
      <c r="A232" s="33"/>
      <c r="B232" s="54" t="str">
        <f t="shared" si="15"/>
        <v>K4B6</v>
      </c>
      <c r="C232" s="56" t="str">
        <f t="shared" si="16"/>
        <v>OBRA</v>
      </c>
      <c r="D232" s="56"/>
      <c r="E232" s="54" t="str">
        <f t="shared" si="17"/>
        <v/>
      </c>
      <c r="F232" s="22" t="str">
        <f t="shared" si="18"/>
        <v/>
      </c>
      <c r="G232" s="22" t="str">
        <f t="shared" si="19"/>
        <v/>
      </c>
      <c r="H232" s="49"/>
      <c r="I232" s="57" t="str">
        <f>IF(H232="","",MID(VLOOKUP(H232,Codigo_Material!$A$2:$C$9999,2,0),1,30))</f>
        <v/>
      </c>
      <c r="J232" s="57"/>
      <c r="K232" s="54" t="str">
        <f>IF(H232="","",MID(VLOOKUP(H232,Codigo_Material!$A$2:$C$6426,3,0),1,25))</f>
        <v/>
      </c>
      <c r="L232" s="19"/>
      <c r="M232" s="20"/>
      <c r="N232" s="1"/>
      <c r="O232" s="2"/>
      <c r="P232" s="58"/>
      <c r="Q232" s="58"/>
      <c r="R232" s="58"/>
      <c r="S232" s="55"/>
      <c r="T232" s="36"/>
    </row>
    <row r="233" spans="1:20" s="37" customFormat="1" x14ac:dyDescent="0.25">
      <c r="A233" s="33"/>
      <c r="B233" s="54" t="str">
        <f t="shared" si="15"/>
        <v>K4B6</v>
      </c>
      <c r="C233" s="56" t="str">
        <f t="shared" si="16"/>
        <v>OBRA</v>
      </c>
      <c r="D233" s="56"/>
      <c r="E233" s="54" t="str">
        <f t="shared" si="17"/>
        <v/>
      </c>
      <c r="F233" s="22" t="str">
        <f t="shared" si="18"/>
        <v/>
      </c>
      <c r="G233" s="22" t="str">
        <f t="shared" si="19"/>
        <v/>
      </c>
      <c r="H233" s="49"/>
      <c r="I233" s="57" t="str">
        <f>IF(H233="","",MID(VLOOKUP(H233,Codigo_Material!$A$2:$C$9999,2,0),1,30))</f>
        <v/>
      </c>
      <c r="J233" s="57"/>
      <c r="K233" s="54" t="str">
        <f>IF(H233="","",MID(VLOOKUP(H233,Codigo_Material!$A$2:$C$6426,3,0),1,25))</f>
        <v/>
      </c>
      <c r="L233" s="19"/>
      <c r="M233" s="20"/>
      <c r="N233" s="1"/>
      <c r="O233" s="2"/>
      <c r="P233" s="58"/>
      <c r="Q233" s="58"/>
      <c r="R233" s="58"/>
      <c r="S233" s="55"/>
      <c r="T233" s="36"/>
    </row>
    <row r="234" spans="1:20" s="37" customFormat="1" x14ac:dyDescent="0.25">
      <c r="A234" s="33"/>
      <c r="B234" s="54" t="str">
        <f t="shared" si="15"/>
        <v>K4B6</v>
      </c>
      <c r="C234" s="56" t="str">
        <f t="shared" si="16"/>
        <v>OBRA</v>
      </c>
      <c r="D234" s="56"/>
      <c r="E234" s="54" t="str">
        <f t="shared" si="17"/>
        <v/>
      </c>
      <c r="F234" s="22" t="str">
        <f t="shared" si="18"/>
        <v/>
      </c>
      <c r="G234" s="22" t="str">
        <f t="shared" si="19"/>
        <v/>
      </c>
      <c r="H234" s="49"/>
      <c r="I234" s="57" t="str">
        <f>IF(H234="","",MID(VLOOKUP(H234,Codigo_Material!$A$2:$C$9999,2,0),1,30))</f>
        <v/>
      </c>
      <c r="J234" s="57"/>
      <c r="K234" s="54" t="str">
        <f>IF(H234="","",MID(VLOOKUP(H234,Codigo_Material!$A$2:$C$6426,3,0),1,25))</f>
        <v/>
      </c>
      <c r="L234" s="19"/>
      <c r="M234" s="20"/>
      <c r="N234" s="1"/>
      <c r="O234" s="2"/>
      <c r="P234" s="58"/>
      <c r="Q234" s="58"/>
      <c r="R234" s="58"/>
      <c r="S234" s="55"/>
      <c r="T234" s="36"/>
    </row>
    <row r="235" spans="1:20" s="37" customFormat="1" x14ac:dyDescent="0.25">
      <c r="A235" s="33"/>
      <c r="B235" s="54" t="str">
        <f t="shared" si="15"/>
        <v>K4B6</v>
      </c>
      <c r="C235" s="56" t="str">
        <f t="shared" si="16"/>
        <v>OBRA</v>
      </c>
      <c r="D235" s="56"/>
      <c r="E235" s="54" t="str">
        <f t="shared" si="17"/>
        <v/>
      </c>
      <c r="F235" s="22" t="str">
        <f t="shared" si="18"/>
        <v/>
      </c>
      <c r="G235" s="22" t="str">
        <f t="shared" si="19"/>
        <v/>
      </c>
      <c r="H235" s="49"/>
      <c r="I235" s="57" t="str">
        <f>IF(H235="","",MID(VLOOKUP(H235,Codigo_Material!$A$2:$C$9999,2,0),1,30))</f>
        <v/>
      </c>
      <c r="J235" s="57"/>
      <c r="K235" s="54" t="str">
        <f>IF(H235="","",MID(VLOOKUP(H235,Codigo_Material!$A$2:$C$6426,3,0),1,25))</f>
        <v/>
      </c>
      <c r="L235" s="19"/>
      <c r="M235" s="20"/>
      <c r="N235" s="1"/>
      <c r="O235" s="2"/>
      <c r="P235" s="58"/>
      <c r="Q235" s="58"/>
      <c r="R235" s="58"/>
      <c r="S235" s="55"/>
      <c r="T235" s="36"/>
    </row>
    <row r="236" spans="1:20" s="37" customFormat="1" x14ac:dyDescent="0.25">
      <c r="A236" s="33"/>
      <c r="B236" s="54" t="str">
        <f t="shared" si="15"/>
        <v>K4B6</v>
      </c>
      <c r="C236" s="56" t="str">
        <f t="shared" si="16"/>
        <v>OBRA</v>
      </c>
      <c r="D236" s="56"/>
      <c r="E236" s="54" t="str">
        <f t="shared" si="17"/>
        <v/>
      </c>
      <c r="F236" s="22" t="str">
        <f t="shared" si="18"/>
        <v/>
      </c>
      <c r="G236" s="22" t="str">
        <f t="shared" si="19"/>
        <v/>
      </c>
      <c r="H236" s="49"/>
      <c r="I236" s="57" t="str">
        <f>IF(H236="","",MID(VLOOKUP(H236,Codigo_Material!$A$2:$C$9999,2,0),1,30))</f>
        <v/>
      </c>
      <c r="J236" s="57"/>
      <c r="K236" s="54" t="str">
        <f>IF(H236="","",MID(VLOOKUP(H236,Codigo_Material!$A$2:$C$6426,3,0),1,25))</f>
        <v/>
      </c>
      <c r="L236" s="19"/>
      <c r="M236" s="20"/>
      <c r="N236" s="1"/>
      <c r="O236" s="2"/>
      <c r="P236" s="58"/>
      <c r="Q236" s="58"/>
      <c r="R236" s="58"/>
      <c r="S236" s="55"/>
      <c r="T236" s="36"/>
    </row>
    <row r="237" spans="1:20" s="37" customFormat="1" x14ac:dyDescent="0.25">
      <c r="A237" s="33"/>
      <c r="B237" s="54" t="str">
        <f t="shared" si="15"/>
        <v>K4B6</v>
      </c>
      <c r="C237" s="56" t="str">
        <f t="shared" si="16"/>
        <v>OBRA</v>
      </c>
      <c r="D237" s="56"/>
      <c r="E237" s="54" t="str">
        <f t="shared" si="17"/>
        <v/>
      </c>
      <c r="F237" s="22" t="str">
        <f t="shared" si="18"/>
        <v/>
      </c>
      <c r="G237" s="22" t="str">
        <f t="shared" si="19"/>
        <v/>
      </c>
      <c r="H237" s="49"/>
      <c r="I237" s="57" t="str">
        <f>IF(H237="","",MID(VLOOKUP(H237,Codigo_Material!$A$2:$C$9999,2,0),1,30))</f>
        <v/>
      </c>
      <c r="J237" s="57"/>
      <c r="K237" s="54" t="str">
        <f>IF(H237="","",MID(VLOOKUP(H237,Codigo_Material!$A$2:$C$6426,3,0),1,25))</f>
        <v/>
      </c>
      <c r="L237" s="19"/>
      <c r="M237" s="20"/>
      <c r="N237" s="1"/>
      <c r="O237" s="2"/>
      <c r="P237" s="58"/>
      <c r="Q237" s="58"/>
      <c r="R237" s="58"/>
      <c r="S237" s="55"/>
      <c r="T237" s="36"/>
    </row>
    <row r="238" spans="1:20" s="37" customFormat="1" x14ac:dyDescent="0.25">
      <c r="A238" s="33"/>
      <c r="B238" s="54" t="str">
        <f t="shared" si="15"/>
        <v>K4B6</v>
      </c>
      <c r="C238" s="56" t="str">
        <f t="shared" si="16"/>
        <v>OBRA</v>
      </c>
      <c r="D238" s="56"/>
      <c r="E238" s="54" t="str">
        <f t="shared" si="17"/>
        <v/>
      </c>
      <c r="F238" s="22" t="str">
        <f t="shared" si="18"/>
        <v/>
      </c>
      <c r="G238" s="22" t="str">
        <f t="shared" si="19"/>
        <v/>
      </c>
      <c r="H238" s="49"/>
      <c r="I238" s="57" t="str">
        <f>IF(H238="","",MID(VLOOKUP(H238,Codigo_Material!$A$2:$C$9999,2,0),1,30))</f>
        <v/>
      </c>
      <c r="J238" s="57"/>
      <c r="K238" s="54" t="str">
        <f>IF(H238="","",MID(VLOOKUP(H238,Codigo_Material!$A$2:$C$6426,3,0),1,25))</f>
        <v/>
      </c>
      <c r="L238" s="19"/>
      <c r="M238" s="20"/>
      <c r="N238" s="1"/>
      <c r="O238" s="2"/>
      <c r="P238" s="58"/>
      <c r="Q238" s="58"/>
      <c r="R238" s="58"/>
      <c r="S238" s="55"/>
      <c r="T238" s="36"/>
    </row>
    <row r="239" spans="1:20" s="37" customFormat="1" x14ac:dyDescent="0.25">
      <c r="A239" s="33"/>
      <c r="B239" s="54" t="str">
        <f t="shared" si="15"/>
        <v>K4B6</v>
      </c>
      <c r="C239" s="56" t="str">
        <f t="shared" si="16"/>
        <v>OBRA</v>
      </c>
      <c r="D239" s="56"/>
      <c r="E239" s="54" t="str">
        <f t="shared" si="17"/>
        <v/>
      </c>
      <c r="F239" s="22" t="str">
        <f t="shared" si="18"/>
        <v/>
      </c>
      <c r="G239" s="22" t="str">
        <f t="shared" si="19"/>
        <v/>
      </c>
      <c r="H239" s="49"/>
      <c r="I239" s="57" t="str">
        <f>IF(H239="","",MID(VLOOKUP(H239,Codigo_Material!$A$2:$C$9999,2,0),1,30))</f>
        <v/>
      </c>
      <c r="J239" s="57"/>
      <c r="K239" s="54" t="str">
        <f>IF(H239="","",MID(VLOOKUP(H239,Codigo_Material!$A$2:$C$6426,3,0),1,25))</f>
        <v/>
      </c>
      <c r="L239" s="19"/>
      <c r="M239" s="20"/>
      <c r="N239" s="1"/>
      <c r="O239" s="2"/>
      <c r="P239" s="58"/>
      <c r="Q239" s="58"/>
      <c r="R239" s="58"/>
      <c r="S239" s="55"/>
      <c r="T239" s="36"/>
    </row>
    <row r="240" spans="1:20" s="37" customFormat="1" x14ac:dyDescent="0.25">
      <c r="A240" s="33"/>
      <c r="B240" s="54" t="str">
        <f t="shared" si="15"/>
        <v>K4B6</v>
      </c>
      <c r="C240" s="56" t="str">
        <f t="shared" si="16"/>
        <v>OBRA</v>
      </c>
      <c r="D240" s="56"/>
      <c r="E240" s="54" t="str">
        <f t="shared" si="17"/>
        <v/>
      </c>
      <c r="F240" s="22" t="str">
        <f t="shared" si="18"/>
        <v/>
      </c>
      <c r="G240" s="22" t="str">
        <f t="shared" si="19"/>
        <v/>
      </c>
      <c r="H240" s="49"/>
      <c r="I240" s="57" t="str">
        <f>IF(H240="","",MID(VLOOKUP(H240,Codigo_Material!$A$2:$C$9999,2,0),1,30))</f>
        <v/>
      </c>
      <c r="J240" s="57"/>
      <c r="K240" s="54" t="str">
        <f>IF(H240="","",MID(VLOOKUP(H240,Codigo_Material!$A$2:$C$6426,3,0),1,25))</f>
        <v/>
      </c>
      <c r="L240" s="19"/>
      <c r="M240" s="20"/>
      <c r="N240" s="1"/>
      <c r="O240" s="2"/>
      <c r="P240" s="58"/>
      <c r="Q240" s="58"/>
      <c r="R240" s="58"/>
      <c r="S240" s="55"/>
      <c r="T240" s="36"/>
    </row>
    <row r="241" spans="1:20" s="37" customFormat="1" x14ac:dyDescent="0.25">
      <c r="A241" s="33"/>
      <c r="B241" s="54" t="str">
        <f t="shared" si="15"/>
        <v>K4B6</v>
      </c>
      <c r="C241" s="56" t="str">
        <f t="shared" si="16"/>
        <v>OBRA</v>
      </c>
      <c r="D241" s="56"/>
      <c r="E241" s="54" t="str">
        <f t="shared" si="17"/>
        <v/>
      </c>
      <c r="F241" s="22" t="str">
        <f t="shared" si="18"/>
        <v/>
      </c>
      <c r="G241" s="22" t="str">
        <f t="shared" si="19"/>
        <v/>
      </c>
      <c r="H241" s="49"/>
      <c r="I241" s="57" t="str">
        <f>IF(H241="","",MID(VLOOKUP(H241,Codigo_Material!$A$2:$C$9999,2,0),1,30))</f>
        <v/>
      </c>
      <c r="J241" s="57"/>
      <c r="K241" s="54" t="str">
        <f>IF(H241="","",MID(VLOOKUP(H241,Codigo_Material!$A$2:$C$6426,3,0),1,25))</f>
        <v/>
      </c>
      <c r="L241" s="19"/>
      <c r="M241" s="20"/>
      <c r="N241" s="1"/>
      <c r="O241" s="2"/>
      <c r="P241" s="58"/>
      <c r="Q241" s="58"/>
      <c r="R241" s="58"/>
      <c r="S241" s="55"/>
      <c r="T241" s="36"/>
    </row>
    <row r="242" spans="1:20" s="37" customFormat="1" x14ac:dyDescent="0.25">
      <c r="A242" s="33"/>
      <c r="B242" s="54" t="str">
        <f t="shared" si="15"/>
        <v>K4B6</v>
      </c>
      <c r="C242" s="56" t="str">
        <f t="shared" si="16"/>
        <v>OBRA</v>
      </c>
      <c r="D242" s="56"/>
      <c r="E242" s="54" t="str">
        <f t="shared" si="17"/>
        <v/>
      </c>
      <c r="F242" s="22" t="str">
        <f t="shared" si="18"/>
        <v/>
      </c>
      <c r="G242" s="22" t="str">
        <f t="shared" si="19"/>
        <v/>
      </c>
      <c r="H242" s="49"/>
      <c r="I242" s="57" t="str">
        <f>IF(H242="","",MID(VLOOKUP(H242,Codigo_Material!$A$2:$C$9999,2,0),1,30))</f>
        <v/>
      </c>
      <c r="J242" s="57"/>
      <c r="K242" s="54" t="str">
        <f>IF(H242="","",MID(VLOOKUP(H242,Codigo_Material!$A$2:$C$6426,3,0),1,25))</f>
        <v/>
      </c>
      <c r="L242" s="19"/>
      <c r="M242" s="20"/>
      <c r="N242" s="1"/>
      <c r="O242" s="2"/>
      <c r="P242" s="58"/>
      <c r="Q242" s="58"/>
      <c r="R242" s="58"/>
      <c r="S242" s="55"/>
      <c r="T242" s="36"/>
    </row>
    <row r="243" spans="1:20" s="37" customFormat="1" x14ac:dyDescent="0.25">
      <c r="A243" s="33"/>
      <c r="B243" s="54" t="str">
        <f t="shared" si="15"/>
        <v>K4B6</v>
      </c>
      <c r="C243" s="56" t="str">
        <f t="shared" si="16"/>
        <v>OBRA</v>
      </c>
      <c r="D243" s="56"/>
      <c r="E243" s="54" t="str">
        <f t="shared" si="17"/>
        <v/>
      </c>
      <c r="F243" s="22" t="str">
        <f t="shared" si="18"/>
        <v/>
      </c>
      <c r="G243" s="22" t="str">
        <f t="shared" si="19"/>
        <v/>
      </c>
      <c r="H243" s="49"/>
      <c r="I243" s="57" t="str">
        <f>IF(H243="","",MID(VLOOKUP(H243,Codigo_Material!$A$2:$C$9999,2,0),1,30))</f>
        <v/>
      </c>
      <c r="J243" s="57"/>
      <c r="K243" s="54" t="str">
        <f>IF(H243="","",MID(VLOOKUP(H243,Codigo_Material!$A$2:$C$6426,3,0),1,25))</f>
        <v/>
      </c>
      <c r="L243" s="19"/>
      <c r="M243" s="20"/>
      <c r="N243" s="1"/>
      <c r="O243" s="2"/>
      <c r="P243" s="58"/>
      <c r="Q243" s="58"/>
      <c r="R243" s="58"/>
      <c r="S243" s="55"/>
      <c r="T243" s="36"/>
    </row>
    <row r="244" spans="1:20" s="37" customFormat="1" x14ac:dyDescent="0.25">
      <c r="A244" s="33"/>
      <c r="B244" s="54" t="str">
        <f t="shared" si="15"/>
        <v>K4B6</v>
      </c>
      <c r="C244" s="56" t="str">
        <f t="shared" si="16"/>
        <v>OBRA</v>
      </c>
      <c r="D244" s="56"/>
      <c r="E244" s="54" t="str">
        <f t="shared" si="17"/>
        <v/>
      </c>
      <c r="F244" s="22" t="str">
        <f t="shared" si="18"/>
        <v/>
      </c>
      <c r="G244" s="22" t="str">
        <f t="shared" si="19"/>
        <v/>
      </c>
      <c r="H244" s="49"/>
      <c r="I244" s="57" t="str">
        <f>IF(H244="","",MID(VLOOKUP(H244,Codigo_Material!$A$2:$C$9999,2,0),1,30))</f>
        <v/>
      </c>
      <c r="J244" s="57"/>
      <c r="K244" s="54" t="str">
        <f>IF(H244="","",MID(VLOOKUP(H244,Codigo_Material!$A$2:$C$6426,3,0),1,25))</f>
        <v/>
      </c>
      <c r="L244" s="19"/>
      <c r="M244" s="20"/>
      <c r="N244" s="1"/>
      <c r="O244" s="2"/>
      <c r="P244" s="58"/>
      <c r="Q244" s="58"/>
      <c r="R244" s="58"/>
      <c r="S244" s="55"/>
      <c r="T244" s="36"/>
    </row>
    <row r="245" spans="1:20" s="37" customFormat="1" x14ac:dyDescent="0.25">
      <c r="A245" s="33"/>
      <c r="B245" s="54" t="str">
        <f t="shared" si="15"/>
        <v>K4B6</v>
      </c>
      <c r="C245" s="56" t="str">
        <f t="shared" si="16"/>
        <v>OBRA</v>
      </c>
      <c r="D245" s="56"/>
      <c r="E245" s="54" t="str">
        <f t="shared" si="17"/>
        <v/>
      </c>
      <c r="F245" s="22" t="str">
        <f t="shared" si="18"/>
        <v/>
      </c>
      <c r="G245" s="22" t="str">
        <f t="shared" si="19"/>
        <v/>
      </c>
      <c r="H245" s="49"/>
      <c r="I245" s="57" t="str">
        <f>IF(H245="","",MID(VLOOKUP(H245,Codigo_Material!$A$2:$C$9999,2,0),1,30))</f>
        <v/>
      </c>
      <c r="J245" s="57"/>
      <c r="K245" s="54" t="str">
        <f>IF(H245="","",MID(VLOOKUP(H245,Codigo_Material!$A$2:$C$6426,3,0),1,25))</f>
        <v/>
      </c>
      <c r="L245" s="19"/>
      <c r="M245" s="20"/>
      <c r="N245" s="1"/>
      <c r="O245" s="2"/>
      <c r="P245" s="58"/>
      <c r="Q245" s="58"/>
      <c r="R245" s="58"/>
      <c r="S245" s="55"/>
      <c r="T245" s="36"/>
    </row>
    <row r="246" spans="1:20" s="37" customFormat="1" x14ac:dyDescent="0.25">
      <c r="A246" s="33"/>
      <c r="B246" s="54" t="str">
        <f t="shared" si="15"/>
        <v>K4B6</v>
      </c>
      <c r="C246" s="56" t="str">
        <f t="shared" si="16"/>
        <v>OBRA</v>
      </c>
      <c r="D246" s="56"/>
      <c r="E246" s="54" t="str">
        <f t="shared" si="17"/>
        <v/>
      </c>
      <c r="F246" s="22" t="str">
        <f t="shared" si="18"/>
        <v/>
      </c>
      <c r="G246" s="22" t="str">
        <f t="shared" si="19"/>
        <v/>
      </c>
      <c r="H246" s="49"/>
      <c r="I246" s="57" t="str">
        <f>IF(H246="","",MID(VLOOKUP(H246,Codigo_Material!$A$2:$C$9999,2,0),1,30))</f>
        <v/>
      </c>
      <c r="J246" s="57"/>
      <c r="K246" s="54" t="str">
        <f>IF(H246="","",MID(VLOOKUP(H246,Codigo_Material!$A$2:$C$6426,3,0),1,25))</f>
        <v/>
      </c>
      <c r="L246" s="19"/>
      <c r="M246" s="20"/>
      <c r="N246" s="1"/>
      <c r="O246" s="2"/>
      <c r="P246" s="58"/>
      <c r="Q246" s="58"/>
      <c r="R246" s="58"/>
      <c r="S246" s="55"/>
      <c r="T246" s="36"/>
    </row>
    <row r="247" spans="1:20" s="37" customFormat="1" x14ac:dyDescent="0.25">
      <c r="A247" s="33"/>
      <c r="B247" s="54" t="str">
        <f t="shared" si="15"/>
        <v>K4B6</v>
      </c>
      <c r="C247" s="56" t="str">
        <f t="shared" si="16"/>
        <v>OBRA</v>
      </c>
      <c r="D247" s="56"/>
      <c r="E247" s="54" t="str">
        <f t="shared" si="17"/>
        <v/>
      </c>
      <c r="F247" s="22" t="str">
        <f t="shared" si="18"/>
        <v/>
      </c>
      <c r="G247" s="22" t="str">
        <f t="shared" si="19"/>
        <v/>
      </c>
      <c r="H247" s="49"/>
      <c r="I247" s="57" t="str">
        <f>IF(H247="","",MID(VLOOKUP(H247,Codigo_Material!$A$2:$C$9999,2,0),1,30))</f>
        <v/>
      </c>
      <c r="J247" s="57"/>
      <c r="K247" s="54" t="str">
        <f>IF(H247="","",MID(VLOOKUP(H247,Codigo_Material!$A$2:$C$6426,3,0),1,25))</f>
        <v/>
      </c>
      <c r="L247" s="19"/>
      <c r="M247" s="20"/>
      <c r="N247" s="1"/>
      <c r="O247" s="2"/>
      <c r="P247" s="58"/>
      <c r="Q247" s="58"/>
      <c r="R247" s="58"/>
      <c r="S247" s="55"/>
      <c r="T247" s="36"/>
    </row>
    <row r="248" spans="1:20" s="37" customFormat="1" x14ac:dyDescent="0.25">
      <c r="A248" s="33"/>
      <c r="B248" s="54" t="str">
        <f t="shared" si="15"/>
        <v>K4B6</v>
      </c>
      <c r="C248" s="56" t="str">
        <f t="shared" si="16"/>
        <v>OBRA</v>
      </c>
      <c r="D248" s="56"/>
      <c r="E248" s="54" t="str">
        <f t="shared" si="17"/>
        <v/>
      </c>
      <c r="F248" s="22" t="str">
        <f t="shared" si="18"/>
        <v/>
      </c>
      <c r="G248" s="22" t="str">
        <f t="shared" si="19"/>
        <v/>
      </c>
      <c r="H248" s="49"/>
      <c r="I248" s="57" t="str">
        <f>IF(H248="","",MID(VLOOKUP(H248,Codigo_Material!$A$2:$C$9999,2,0),1,30))</f>
        <v/>
      </c>
      <c r="J248" s="57"/>
      <c r="K248" s="54" t="str">
        <f>IF(H248="","",MID(VLOOKUP(H248,Codigo_Material!$A$2:$C$6426,3,0),1,25))</f>
        <v/>
      </c>
      <c r="L248" s="19"/>
      <c r="M248" s="20"/>
      <c r="N248" s="1"/>
      <c r="O248" s="2"/>
      <c r="P248" s="58"/>
      <c r="Q248" s="58"/>
      <c r="R248" s="58"/>
      <c r="S248" s="55"/>
      <c r="T248" s="36"/>
    </row>
    <row r="249" spans="1:20" s="37" customFormat="1" x14ac:dyDescent="0.25">
      <c r="A249" s="33"/>
      <c r="B249" s="54" t="str">
        <f t="shared" si="15"/>
        <v>K4B6</v>
      </c>
      <c r="C249" s="56" t="str">
        <f t="shared" si="16"/>
        <v>OBRA</v>
      </c>
      <c r="D249" s="56"/>
      <c r="E249" s="54" t="str">
        <f t="shared" si="17"/>
        <v/>
      </c>
      <c r="F249" s="22" t="str">
        <f t="shared" si="18"/>
        <v/>
      </c>
      <c r="G249" s="22" t="str">
        <f t="shared" si="19"/>
        <v/>
      </c>
      <c r="H249" s="49"/>
      <c r="I249" s="57" t="str">
        <f>IF(H249="","",MID(VLOOKUP(H249,Codigo_Material!$A$2:$C$9999,2,0),1,30))</f>
        <v/>
      </c>
      <c r="J249" s="57"/>
      <c r="K249" s="54" t="str">
        <f>IF(H249="","",MID(VLOOKUP(H249,Codigo_Material!$A$2:$C$6426,3,0),1,25))</f>
        <v/>
      </c>
      <c r="L249" s="19"/>
      <c r="M249" s="20"/>
      <c r="N249" s="1"/>
      <c r="O249" s="2"/>
      <c r="P249" s="58"/>
      <c r="Q249" s="58"/>
      <c r="R249" s="58"/>
      <c r="S249" s="55"/>
      <c r="T249" s="36"/>
    </row>
    <row r="250" spans="1:20" s="37" customFormat="1" x14ac:dyDescent="0.25">
      <c r="A250" s="33"/>
      <c r="B250" s="54" t="str">
        <f t="shared" si="15"/>
        <v>K4B6</v>
      </c>
      <c r="C250" s="56" t="str">
        <f t="shared" si="16"/>
        <v>OBRA</v>
      </c>
      <c r="D250" s="56"/>
      <c r="E250" s="54" t="str">
        <f t="shared" si="17"/>
        <v/>
      </c>
      <c r="F250" s="22" t="str">
        <f t="shared" si="18"/>
        <v/>
      </c>
      <c r="G250" s="22" t="str">
        <f t="shared" si="19"/>
        <v/>
      </c>
      <c r="H250" s="49"/>
      <c r="I250" s="57" t="str">
        <f>IF(H250="","",MID(VLOOKUP(H250,Codigo_Material!$A$2:$C$9999,2,0),1,30))</f>
        <v/>
      </c>
      <c r="J250" s="57"/>
      <c r="K250" s="54" t="str">
        <f>IF(H250="","",MID(VLOOKUP(H250,Codigo_Material!$A$2:$C$6426,3,0),1,25))</f>
        <v/>
      </c>
      <c r="L250" s="19"/>
      <c r="M250" s="20"/>
      <c r="N250" s="1"/>
      <c r="O250" s="2"/>
      <c r="P250" s="58"/>
      <c r="Q250" s="58"/>
      <c r="R250" s="58"/>
      <c r="S250" s="55"/>
      <c r="T250" s="36"/>
    </row>
    <row r="251" spans="1:20" s="37" customFormat="1" x14ac:dyDescent="0.25">
      <c r="A251" s="33"/>
      <c r="B251" s="54" t="str">
        <f t="shared" si="15"/>
        <v>K4B6</v>
      </c>
      <c r="C251" s="56" t="str">
        <f t="shared" si="16"/>
        <v>OBRA</v>
      </c>
      <c r="D251" s="56"/>
      <c r="E251" s="54" t="str">
        <f t="shared" si="17"/>
        <v/>
      </c>
      <c r="F251" s="22" t="str">
        <f t="shared" si="18"/>
        <v/>
      </c>
      <c r="G251" s="22" t="str">
        <f t="shared" si="19"/>
        <v/>
      </c>
      <c r="H251" s="49"/>
      <c r="I251" s="57" t="str">
        <f>IF(H251="","",MID(VLOOKUP(H251,Codigo_Material!$A$2:$C$9999,2,0),1,30))</f>
        <v/>
      </c>
      <c r="J251" s="57"/>
      <c r="K251" s="54" t="str">
        <f>IF(H251="","",MID(VLOOKUP(H251,Codigo_Material!$A$2:$C$6426,3,0),1,25))</f>
        <v/>
      </c>
      <c r="L251" s="19"/>
      <c r="M251" s="20"/>
      <c r="N251" s="1"/>
      <c r="O251" s="2"/>
      <c r="P251" s="58"/>
      <c r="Q251" s="58"/>
      <c r="R251" s="58"/>
      <c r="S251" s="55"/>
      <c r="T251" s="36"/>
    </row>
    <row r="252" spans="1:20" s="37" customFormat="1" x14ac:dyDescent="0.25">
      <c r="A252" s="33"/>
      <c r="B252" s="54" t="str">
        <f t="shared" si="15"/>
        <v>K4B6</v>
      </c>
      <c r="C252" s="56" t="str">
        <f t="shared" si="16"/>
        <v>OBRA</v>
      </c>
      <c r="D252" s="56"/>
      <c r="E252" s="54" t="str">
        <f t="shared" si="17"/>
        <v/>
      </c>
      <c r="F252" s="22" t="str">
        <f t="shared" si="18"/>
        <v/>
      </c>
      <c r="G252" s="22" t="str">
        <f t="shared" si="19"/>
        <v/>
      </c>
      <c r="H252" s="49"/>
      <c r="I252" s="57" t="str">
        <f>IF(H252="","",MID(VLOOKUP(H252,Codigo_Material!$A$2:$C$9999,2,0),1,30))</f>
        <v/>
      </c>
      <c r="J252" s="57"/>
      <c r="K252" s="54" t="str">
        <f>IF(H252="","",MID(VLOOKUP(H252,Codigo_Material!$A$2:$C$6426,3,0),1,25))</f>
        <v/>
      </c>
      <c r="L252" s="19"/>
      <c r="M252" s="20"/>
      <c r="N252" s="1"/>
      <c r="O252" s="2"/>
      <c r="P252" s="58"/>
      <c r="Q252" s="58"/>
      <c r="R252" s="58"/>
      <c r="S252" s="55"/>
      <c r="T252" s="36"/>
    </row>
    <row r="253" spans="1:20" s="37" customFormat="1" x14ac:dyDescent="0.25">
      <c r="A253" s="33"/>
      <c r="B253" s="54" t="str">
        <f t="shared" si="15"/>
        <v>K4B6</v>
      </c>
      <c r="C253" s="56" t="str">
        <f t="shared" si="16"/>
        <v>OBRA</v>
      </c>
      <c r="D253" s="56"/>
      <c r="E253" s="54" t="str">
        <f t="shared" si="17"/>
        <v/>
      </c>
      <c r="F253" s="22" t="str">
        <f t="shared" si="18"/>
        <v/>
      </c>
      <c r="G253" s="22" t="str">
        <f t="shared" si="19"/>
        <v/>
      </c>
      <c r="H253" s="49"/>
      <c r="I253" s="57" t="str">
        <f>IF(H253="","",MID(VLOOKUP(H253,Codigo_Material!$A$2:$C$9999,2,0),1,30))</f>
        <v/>
      </c>
      <c r="J253" s="57"/>
      <c r="K253" s="54" t="str">
        <f>IF(H253="","",MID(VLOOKUP(H253,Codigo_Material!$A$2:$C$6426,3,0),1,25))</f>
        <v/>
      </c>
      <c r="L253" s="19"/>
      <c r="M253" s="20"/>
      <c r="N253" s="1"/>
      <c r="O253" s="2"/>
      <c r="P253" s="58"/>
      <c r="Q253" s="58"/>
      <c r="R253" s="58"/>
      <c r="S253" s="55"/>
      <c r="T253" s="36"/>
    </row>
    <row r="254" spans="1:20" s="37" customFormat="1" x14ac:dyDescent="0.25">
      <c r="A254" s="33"/>
      <c r="B254" s="54" t="str">
        <f t="shared" si="15"/>
        <v>K4B6</v>
      </c>
      <c r="C254" s="56" t="str">
        <f t="shared" si="16"/>
        <v>OBRA</v>
      </c>
      <c r="D254" s="56"/>
      <c r="E254" s="54" t="str">
        <f t="shared" si="17"/>
        <v/>
      </c>
      <c r="F254" s="22" t="str">
        <f t="shared" si="18"/>
        <v/>
      </c>
      <c r="G254" s="22" t="str">
        <f t="shared" si="19"/>
        <v/>
      </c>
      <c r="H254" s="49"/>
      <c r="I254" s="57" t="str">
        <f>IF(H254="","",MID(VLOOKUP(H254,Codigo_Material!$A$2:$C$9999,2,0),1,30))</f>
        <v/>
      </c>
      <c r="J254" s="57"/>
      <c r="K254" s="54" t="str">
        <f>IF(H254="","",MID(VLOOKUP(H254,Codigo_Material!$A$2:$C$6426,3,0),1,25))</f>
        <v/>
      </c>
      <c r="L254" s="19"/>
      <c r="M254" s="20"/>
      <c r="N254" s="1"/>
      <c r="O254" s="2"/>
      <c r="P254" s="58"/>
      <c r="Q254" s="58"/>
      <c r="R254" s="58"/>
      <c r="S254" s="55"/>
      <c r="T254" s="36"/>
    </row>
    <row r="255" spans="1:20" s="37" customFormat="1" x14ac:dyDescent="0.25">
      <c r="A255" s="33"/>
      <c r="B255" s="54" t="str">
        <f t="shared" si="15"/>
        <v>K4B6</v>
      </c>
      <c r="C255" s="56" t="str">
        <f t="shared" si="16"/>
        <v>OBRA</v>
      </c>
      <c r="D255" s="56"/>
      <c r="E255" s="54" t="str">
        <f t="shared" si="17"/>
        <v/>
      </c>
      <c r="F255" s="22" t="str">
        <f t="shared" si="18"/>
        <v/>
      </c>
      <c r="G255" s="22" t="str">
        <f t="shared" si="19"/>
        <v/>
      </c>
      <c r="H255" s="49"/>
      <c r="I255" s="57" t="str">
        <f>IF(H255="","",MID(VLOOKUP(H255,Codigo_Material!$A$2:$C$9999,2,0),1,30))</f>
        <v/>
      </c>
      <c r="J255" s="57"/>
      <c r="K255" s="54" t="str">
        <f>IF(H255="","",MID(VLOOKUP(H255,Codigo_Material!$A$2:$C$6426,3,0),1,25))</f>
        <v/>
      </c>
      <c r="L255" s="19"/>
      <c r="M255" s="20"/>
      <c r="N255" s="1"/>
      <c r="O255" s="2"/>
      <c r="P255" s="58"/>
      <c r="Q255" s="58"/>
      <c r="R255" s="58"/>
      <c r="S255" s="55"/>
      <c r="T255" s="36"/>
    </row>
    <row r="256" spans="1:20" s="37" customFormat="1" x14ac:dyDescent="0.25">
      <c r="A256" s="33"/>
      <c r="B256" s="54" t="str">
        <f t="shared" si="15"/>
        <v>K4B6</v>
      </c>
      <c r="C256" s="56" t="str">
        <f t="shared" si="16"/>
        <v>OBRA</v>
      </c>
      <c r="D256" s="56"/>
      <c r="E256" s="54" t="str">
        <f t="shared" si="17"/>
        <v/>
      </c>
      <c r="F256" s="22" t="str">
        <f t="shared" si="18"/>
        <v/>
      </c>
      <c r="G256" s="22" t="str">
        <f t="shared" si="19"/>
        <v/>
      </c>
      <c r="H256" s="49"/>
      <c r="I256" s="57" t="str">
        <f>IF(H256="","",MID(VLOOKUP(H256,Codigo_Material!$A$2:$C$9999,2,0),1,30))</f>
        <v/>
      </c>
      <c r="J256" s="57"/>
      <c r="K256" s="54" t="str">
        <f>IF(H256="","",MID(VLOOKUP(H256,Codigo_Material!$A$2:$C$6426,3,0),1,25))</f>
        <v/>
      </c>
      <c r="L256" s="19"/>
      <c r="M256" s="20"/>
      <c r="N256" s="1"/>
      <c r="O256" s="2"/>
      <c r="P256" s="58"/>
      <c r="Q256" s="58"/>
      <c r="R256" s="58"/>
      <c r="S256" s="55"/>
      <c r="T256" s="36"/>
    </row>
    <row r="257" spans="1:20" s="37" customFormat="1" x14ac:dyDescent="0.25">
      <c r="A257" s="33"/>
      <c r="B257" s="54" t="str">
        <f t="shared" si="15"/>
        <v>K4B6</v>
      </c>
      <c r="C257" s="56" t="str">
        <f t="shared" si="16"/>
        <v>OBRA</v>
      </c>
      <c r="D257" s="56"/>
      <c r="E257" s="54" t="str">
        <f t="shared" si="17"/>
        <v/>
      </c>
      <c r="F257" s="22" t="str">
        <f t="shared" si="18"/>
        <v/>
      </c>
      <c r="G257" s="22" t="str">
        <f t="shared" si="19"/>
        <v/>
      </c>
      <c r="H257" s="49"/>
      <c r="I257" s="57" t="str">
        <f>IF(H257="","",MID(VLOOKUP(H257,Codigo_Material!$A$2:$C$9999,2,0),1,30))</f>
        <v/>
      </c>
      <c r="J257" s="57"/>
      <c r="K257" s="54" t="str">
        <f>IF(H257="","",MID(VLOOKUP(H257,Codigo_Material!$A$2:$C$6426,3,0),1,25))</f>
        <v/>
      </c>
      <c r="L257" s="19"/>
      <c r="M257" s="20"/>
      <c r="N257" s="1"/>
      <c r="O257" s="2"/>
      <c r="P257" s="58"/>
      <c r="Q257" s="58"/>
      <c r="R257" s="58"/>
      <c r="S257" s="55"/>
      <c r="T257" s="36"/>
    </row>
    <row r="258" spans="1:20" s="37" customFormat="1" x14ac:dyDescent="0.25">
      <c r="A258" s="33"/>
      <c r="B258" s="54" t="str">
        <f t="shared" si="15"/>
        <v>K4B6</v>
      </c>
      <c r="C258" s="56" t="str">
        <f t="shared" si="16"/>
        <v>OBRA</v>
      </c>
      <c r="D258" s="56"/>
      <c r="E258" s="54" t="str">
        <f t="shared" si="17"/>
        <v/>
      </c>
      <c r="F258" s="22" t="str">
        <f t="shared" si="18"/>
        <v/>
      </c>
      <c r="G258" s="22" t="str">
        <f t="shared" si="19"/>
        <v/>
      </c>
      <c r="H258" s="49"/>
      <c r="I258" s="57" t="str">
        <f>IF(H258="","",MID(VLOOKUP(H258,Codigo_Material!$A$2:$C$9999,2,0),1,30))</f>
        <v/>
      </c>
      <c r="J258" s="57"/>
      <c r="K258" s="54" t="str">
        <f>IF(H258="","",MID(VLOOKUP(H258,Codigo_Material!$A$2:$C$6426,3,0),1,25))</f>
        <v/>
      </c>
      <c r="L258" s="19"/>
      <c r="M258" s="20"/>
      <c r="N258" s="1"/>
      <c r="O258" s="2"/>
      <c r="P258" s="58"/>
      <c r="Q258" s="58"/>
      <c r="R258" s="58"/>
      <c r="S258" s="55"/>
      <c r="T258" s="36"/>
    </row>
    <row r="259" spans="1:20" s="37" customFormat="1" x14ac:dyDescent="0.25">
      <c r="A259" s="33"/>
      <c r="B259" s="54" t="str">
        <f t="shared" si="15"/>
        <v>K4B6</v>
      </c>
      <c r="C259" s="56" t="str">
        <f t="shared" si="16"/>
        <v>OBRA</v>
      </c>
      <c r="D259" s="56"/>
      <c r="E259" s="54" t="str">
        <f t="shared" si="17"/>
        <v/>
      </c>
      <c r="F259" s="22" t="str">
        <f t="shared" si="18"/>
        <v/>
      </c>
      <c r="G259" s="22" t="str">
        <f t="shared" si="19"/>
        <v/>
      </c>
      <c r="H259" s="49"/>
      <c r="I259" s="57" t="str">
        <f>IF(H259="","",MID(VLOOKUP(H259,Codigo_Material!$A$2:$C$9999,2,0),1,30))</f>
        <v/>
      </c>
      <c r="J259" s="57"/>
      <c r="K259" s="54" t="str">
        <f>IF(H259="","",MID(VLOOKUP(H259,Codigo_Material!$A$2:$C$6426,3,0),1,25))</f>
        <v/>
      </c>
      <c r="L259" s="19"/>
      <c r="M259" s="20"/>
      <c r="N259" s="1"/>
      <c r="O259" s="2"/>
      <c r="P259" s="58"/>
      <c r="Q259" s="58"/>
      <c r="R259" s="58"/>
      <c r="S259" s="55"/>
      <c r="T259" s="36"/>
    </row>
    <row r="260" spans="1:20" s="37" customFormat="1" x14ac:dyDescent="0.25">
      <c r="A260" s="33"/>
      <c r="B260" s="54" t="str">
        <f t="shared" si="15"/>
        <v>K4B6</v>
      </c>
      <c r="C260" s="56" t="str">
        <f t="shared" si="16"/>
        <v>OBRA</v>
      </c>
      <c r="D260" s="56"/>
      <c r="E260" s="54" t="str">
        <f t="shared" si="17"/>
        <v/>
      </c>
      <c r="F260" s="22" t="str">
        <f t="shared" si="18"/>
        <v/>
      </c>
      <c r="G260" s="22" t="str">
        <f t="shared" si="19"/>
        <v/>
      </c>
      <c r="H260" s="49"/>
      <c r="I260" s="57" t="str">
        <f>IF(H260="","",MID(VLOOKUP(H260,Codigo_Material!$A$2:$C$9999,2,0),1,30))</f>
        <v/>
      </c>
      <c r="J260" s="57"/>
      <c r="K260" s="54" t="str">
        <f>IF(H260="","",MID(VLOOKUP(H260,Codigo_Material!$A$2:$C$6426,3,0),1,25))</f>
        <v/>
      </c>
      <c r="L260" s="19"/>
      <c r="M260" s="20"/>
      <c r="N260" s="1"/>
      <c r="O260" s="2"/>
      <c r="P260" s="58"/>
      <c r="Q260" s="58"/>
      <c r="R260" s="58"/>
      <c r="S260" s="55"/>
      <c r="T260" s="36"/>
    </row>
    <row r="261" spans="1:20" s="37" customFormat="1" x14ac:dyDescent="0.25">
      <c r="A261" s="33"/>
      <c r="B261" s="54" t="str">
        <f t="shared" si="15"/>
        <v>K4B6</v>
      </c>
      <c r="C261" s="56" t="str">
        <f t="shared" si="16"/>
        <v>OBRA</v>
      </c>
      <c r="D261" s="56"/>
      <c r="E261" s="54" t="str">
        <f t="shared" si="17"/>
        <v/>
      </c>
      <c r="F261" s="22" t="str">
        <f t="shared" si="18"/>
        <v/>
      </c>
      <c r="G261" s="22" t="str">
        <f t="shared" si="19"/>
        <v/>
      </c>
      <c r="H261" s="49"/>
      <c r="I261" s="57" t="str">
        <f>IF(H261="","",MID(VLOOKUP(H261,Codigo_Material!$A$2:$C$9999,2,0),1,30))</f>
        <v/>
      </c>
      <c r="J261" s="57"/>
      <c r="K261" s="54" t="str">
        <f>IF(H261="","",MID(VLOOKUP(H261,Codigo_Material!$A$2:$C$6426,3,0),1,25))</f>
        <v/>
      </c>
      <c r="L261" s="19"/>
      <c r="M261" s="20"/>
      <c r="N261" s="1"/>
      <c r="O261" s="2"/>
      <c r="P261" s="58"/>
      <c r="Q261" s="58"/>
      <c r="R261" s="58"/>
      <c r="S261" s="55"/>
      <c r="T261" s="36"/>
    </row>
    <row r="262" spans="1:20" s="37" customFormat="1" x14ac:dyDescent="0.25">
      <c r="A262" s="33"/>
      <c r="B262" s="54" t="str">
        <f t="shared" si="15"/>
        <v>K4B6</v>
      </c>
      <c r="C262" s="56" t="str">
        <f t="shared" si="16"/>
        <v>OBRA</v>
      </c>
      <c r="D262" s="56"/>
      <c r="E262" s="54" t="str">
        <f t="shared" si="17"/>
        <v/>
      </c>
      <c r="F262" s="22" t="str">
        <f t="shared" si="18"/>
        <v/>
      </c>
      <c r="G262" s="22" t="str">
        <f t="shared" si="19"/>
        <v/>
      </c>
      <c r="H262" s="49"/>
      <c r="I262" s="57" t="str">
        <f>IF(H262="","",MID(VLOOKUP(H262,Codigo_Material!$A$2:$C$9999,2,0),1,30))</f>
        <v/>
      </c>
      <c r="J262" s="57"/>
      <c r="K262" s="54" t="str">
        <f>IF(H262="","",MID(VLOOKUP(H262,Codigo_Material!$A$2:$C$6426,3,0),1,25))</f>
        <v/>
      </c>
      <c r="L262" s="19"/>
      <c r="M262" s="20"/>
      <c r="N262" s="1"/>
      <c r="O262" s="2"/>
      <c r="P262" s="58"/>
      <c r="Q262" s="58"/>
      <c r="R262" s="58"/>
      <c r="S262" s="55"/>
      <c r="T262" s="36"/>
    </row>
    <row r="263" spans="1:20" s="37" customFormat="1" x14ac:dyDescent="0.25">
      <c r="A263" s="33"/>
      <c r="B263" s="54" t="str">
        <f t="shared" si="15"/>
        <v>K4B6</v>
      </c>
      <c r="C263" s="56" t="str">
        <f t="shared" si="16"/>
        <v>OBRA</v>
      </c>
      <c r="D263" s="56"/>
      <c r="E263" s="54" t="str">
        <f t="shared" si="17"/>
        <v/>
      </c>
      <c r="F263" s="22" t="str">
        <f t="shared" si="18"/>
        <v/>
      </c>
      <c r="G263" s="22" t="str">
        <f t="shared" si="19"/>
        <v/>
      </c>
      <c r="H263" s="49"/>
      <c r="I263" s="57" t="str">
        <f>IF(H263="","",MID(VLOOKUP(H263,Codigo_Material!$A$2:$C$9999,2,0),1,30))</f>
        <v/>
      </c>
      <c r="J263" s="57"/>
      <c r="K263" s="54" t="str">
        <f>IF(H263="","",MID(VLOOKUP(H263,Codigo_Material!$A$2:$C$6426,3,0),1,25))</f>
        <v/>
      </c>
      <c r="L263" s="19"/>
      <c r="M263" s="20"/>
      <c r="N263" s="1"/>
      <c r="O263" s="2"/>
      <c r="P263" s="58"/>
      <c r="Q263" s="58"/>
      <c r="R263" s="58"/>
      <c r="S263" s="55"/>
      <c r="T263" s="36"/>
    </row>
    <row r="264" spans="1:20" s="37" customFormat="1" x14ac:dyDescent="0.25">
      <c r="A264" s="33"/>
      <c r="B264" s="54" t="str">
        <f t="shared" si="15"/>
        <v>K4B6</v>
      </c>
      <c r="C264" s="56" t="str">
        <f t="shared" si="16"/>
        <v>OBRA</v>
      </c>
      <c r="D264" s="56"/>
      <c r="E264" s="54" t="str">
        <f t="shared" si="17"/>
        <v/>
      </c>
      <c r="F264" s="22" t="str">
        <f t="shared" si="18"/>
        <v/>
      </c>
      <c r="G264" s="22" t="str">
        <f t="shared" si="19"/>
        <v/>
      </c>
      <c r="H264" s="49"/>
      <c r="I264" s="57" t="str">
        <f>IF(H264="","",MID(VLOOKUP(H264,Codigo_Material!$A$2:$C$9999,2,0),1,30))</f>
        <v/>
      </c>
      <c r="J264" s="57"/>
      <c r="K264" s="54" t="str">
        <f>IF(H264="","",MID(VLOOKUP(H264,Codigo_Material!$A$2:$C$6426,3,0),1,25))</f>
        <v/>
      </c>
      <c r="L264" s="19"/>
      <c r="M264" s="20"/>
      <c r="N264" s="1"/>
      <c r="O264" s="2"/>
      <c r="P264" s="58"/>
      <c r="Q264" s="58"/>
      <c r="R264" s="58"/>
      <c r="S264" s="55"/>
      <c r="T264" s="36"/>
    </row>
    <row r="265" spans="1:20" s="37" customFormat="1" x14ac:dyDescent="0.25">
      <c r="A265" s="33"/>
      <c r="B265" s="54" t="str">
        <f t="shared" si="15"/>
        <v>K4B6</v>
      </c>
      <c r="C265" s="56" t="str">
        <f t="shared" si="16"/>
        <v>OBRA</v>
      </c>
      <c r="D265" s="56"/>
      <c r="E265" s="54" t="str">
        <f t="shared" si="17"/>
        <v/>
      </c>
      <c r="F265" s="22" t="str">
        <f t="shared" si="18"/>
        <v/>
      </c>
      <c r="G265" s="22" t="str">
        <f t="shared" si="19"/>
        <v/>
      </c>
      <c r="H265" s="49"/>
      <c r="I265" s="57" t="str">
        <f>IF(H265="","",MID(VLOOKUP(H265,Codigo_Material!$A$2:$C$9999,2,0),1,30))</f>
        <v/>
      </c>
      <c r="J265" s="57"/>
      <c r="K265" s="54" t="str">
        <f>IF(H265="","",MID(VLOOKUP(H265,Codigo_Material!$A$2:$C$6426,3,0),1,25))</f>
        <v/>
      </c>
      <c r="L265" s="19"/>
      <c r="M265" s="20"/>
      <c r="N265" s="1"/>
      <c r="O265" s="2"/>
      <c r="P265" s="58"/>
      <c r="Q265" s="58"/>
      <c r="R265" s="58"/>
      <c r="S265" s="55"/>
      <c r="T265" s="36"/>
    </row>
    <row r="266" spans="1:20" s="37" customFormat="1" x14ac:dyDescent="0.25">
      <c r="A266" s="33"/>
      <c r="B266" s="54" t="str">
        <f t="shared" si="15"/>
        <v>K4B6</v>
      </c>
      <c r="C266" s="56" t="str">
        <f t="shared" si="16"/>
        <v>OBRA</v>
      </c>
      <c r="D266" s="56"/>
      <c r="E266" s="54" t="str">
        <f t="shared" si="17"/>
        <v/>
      </c>
      <c r="F266" s="22" t="str">
        <f t="shared" si="18"/>
        <v/>
      </c>
      <c r="G266" s="22" t="str">
        <f t="shared" si="19"/>
        <v/>
      </c>
      <c r="H266" s="49"/>
      <c r="I266" s="57" t="str">
        <f>IF(H266="","",MID(VLOOKUP(H266,Codigo_Material!$A$2:$C$9999,2,0),1,30))</f>
        <v/>
      </c>
      <c r="J266" s="57"/>
      <c r="K266" s="54" t="str">
        <f>IF(H266="","",MID(VLOOKUP(H266,Codigo_Material!$A$2:$C$6426,3,0),1,25))</f>
        <v/>
      </c>
      <c r="L266" s="19"/>
      <c r="M266" s="20"/>
      <c r="N266" s="1"/>
      <c r="O266" s="2"/>
      <c r="P266" s="58"/>
      <c r="Q266" s="58"/>
      <c r="R266" s="58"/>
      <c r="S266" s="55"/>
      <c r="T266" s="36"/>
    </row>
    <row r="267" spans="1:20" s="37" customFormat="1" x14ac:dyDescent="0.25">
      <c r="A267" s="33"/>
      <c r="B267" s="54" t="str">
        <f t="shared" ref="B267:B330" si="20">IF($D$5="","",$D$5)</f>
        <v>K4B6</v>
      </c>
      <c r="C267" s="56" t="str">
        <f t="shared" ref="C267:C330" si="21">IF($F$5="","",$F$5)</f>
        <v>OBRA</v>
      </c>
      <c r="D267" s="56"/>
      <c r="E267" s="54" t="str">
        <f t="shared" ref="E267:E330" si="22">IF($H$5="","",$H$5)</f>
        <v/>
      </c>
      <c r="F267" s="22" t="str">
        <f t="shared" ref="F267:F330" si="23">IF($P$7="","",$P$7)</f>
        <v/>
      </c>
      <c r="G267" s="22" t="str">
        <f t="shared" ref="G267:G330" si="24">IF($K$7="","",$K$7)</f>
        <v/>
      </c>
      <c r="H267" s="49"/>
      <c r="I267" s="57" t="str">
        <f>IF(H267="","",MID(VLOOKUP(H267,Codigo_Material!$A$2:$C$9999,2,0),1,30))</f>
        <v/>
      </c>
      <c r="J267" s="57"/>
      <c r="K267" s="54" t="str">
        <f>IF(H267="","",MID(VLOOKUP(H267,Codigo_Material!$A$2:$C$6426,3,0),1,25))</f>
        <v/>
      </c>
      <c r="L267" s="19"/>
      <c r="M267" s="20"/>
      <c r="N267" s="1"/>
      <c r="O267" s="2"/>
      <c r="P267" s="58"/>
      <c r="Q267" s="58"/>
      <c r="R267" s="58"/>
      <c r="S267" s="55"/>
      <c r="T267" s="36"/>
    </row>
    <row r="268" spans="1:20" s="37" customFormat="1" x14ac:dyDescent="0.25">
      <c r="A268" s="33"/>
      <c r="B268" s="54" t="str">
        <f t="shared" si="20"/>
        <v>K4B6</v>
      </c>
      <c r="C268" s="56" t="str">
        <f t="shared" si="21"/>
        <v>OBRA</v>
      </c>
      <c r="D268" s="56"/>
      <c r="E268" s="54" t="str">
        <f t="shared" si="22"/>
        <v/>
      </c>
      <c r="F268" s="22" t="str">
        <f t="shared" si="23"/>
        <v/>
      </c>
      <c r="G268" s="22" t="str">
        <f t="shared" si="24"/>
        <v/>
      </c>
      <c r="H268" s="49"/>
      <c r="I268" s="57" t="str">
        <f>IF(H268="","",MID(VLOOKUP(H268,Codigo_Material!$A$2:$C$9999,2,0),1,30))</f>
        <v/>
      </c>
      <c r="J268" s="57"/>
      <c r="K268" s="54" t="str">
        <f>IF(H268="","",MID(VLOOKUP(H268,Codigo_Material!$A$2:$C$6426,3,0),1,25))</f>
        <v/>
      </c>
      <c r="L268" s="19"/>
      <c r="M268" s="20"/>
      <c r="N268" s="1"/>
      <c r="O268" s="2"/>
      <c r="P268" s="58"/>
      <c r="Q268" s="58"/>
      <c r="R268" s="58"/>
      <c r="S268" s="55"/>
      <c r="T268" s="36"/>
    </row>
    <row r="269" spans="1:20" s="37" customFormat="1" x14ac:dyDescent="0.25">
      <c r="A269" s="33"/>
      <c r="B269" s="54" t="str">
        <f t="shared" si="20"/>
        <v>K4B6</v>
      </c>
      <c r="C269" s="56" t="str">
        <f t="shared" si="21"/>
        <v>OBRA</v>
      </c>
      <c r="D269" s="56"/>
      <c r="E269" s="54" t="str">
        <f t="shared" si="22"/>
        <v/>
      </c>
      <c r="F269" s="22" t="str">
        <f t="shared" si="23"/>
        <v/>
      </c>
      <c r="G269" s="22" t="str">
        <f t="shared" si="24"/>
        <v/>
      </c>
      <c r="H269" s="49"/>
      <c r="I269" s="57" t="str">
        <f>IF(H269="","",MID(VLOOKUP(H269,Codigo_Material!$A$2:$C$9999,2,0),1,30))</f>
        <v/>
      </c>
      <c r="J269" s="57"/>
      <c r="K269" s="54" t="str">
        <f>IF(H269="","",MID(VLOOKUP(H269,Codigo_Material!$A$2:$C$6426,3,0),1,25))</f>
        <v/>
      </c>
      <c r="L269" s="19"/>
      <c r="M269" s="20"/>
      <c r="N269" s="1"/>
      <c r="O269" s="2"/>
      <c r="P269" s="58"/>
      <c r="Q269" s="58"/>
      <c r="R269" s="58"/>
      <c r="S269" s="55"/>
      <c r="T269" s="36"/>
    </row>
    <row r="270" spans="1:20" s="37" customFormat="1" x14ac:dyDescent="0.25">
      <c r="A270" s="33"/>
      <c r="B270" s="54" t="str">
        <f t="shared" si="20"/>
        <v>K4B6</v>
      </c>
      <c r="C270" s="56" t="str">
        <f t="shared" si="21"/>
        <v>OBRA</v>
      </c>
      <c r="D270" s="56"/>
      <c r="E270" s="54" t="str">
        <f t="shared" si="22"/>
        <v/>
      </c>
      <c r="F270" s="22" t="str">
        <f t="shared" si="23"/>
        <v/>
      </c>
      <c r="G270" s="22" t="str">
        <f t="shared" si="24"/>
        <v/>
      </c>
      <c r="H270" s="49"/>
      <c r="I270" s="57" t="str">
        <f>IF(H270="","",MID(VLOOKUP(H270,Codigo_Material!$A$2:$C$9999,2,0),1,30))</f>
        <v/>
      </c>
      <c r="J270" s="57"/>
      <c r="K270" s="54" t="str">
        <f>IF(H270="","",MID(VLOOKUP(H270,Codigo_Material!$A$2:$C$6426,3,0),1,25))</f>
        <v/>
      </c>
      <c r="L270" s="19"/>
      <c r="M270" s="20"/>
      <c r="N270" s="1"/>
      <c r="O270" s="2"/>
      <c r="P270" s="58"/>
      <c r="Q270" s="58"/>
      <c r="R270" s="58"/>
      <c r="S270" s="55"/>
      <c r="T270" s="36"/>
    </row>
    <row r="271" spans="1:20" s="37" customFormat="1" x14ac:dyDescent="0.25">
      <c r="A271" s="33"/>
      <c r="B271" s="54" t="str">
        <f t="shared" si="20"/>
        <v>K4B6</v>
      </c>
      <c r="C271" s="56" t="str">
        <f t="shared" si="21"/>
        <v>OBRA</v>
      </c>
      <c r="D271" s="56"/>
      <c r="E271" s="54" t="str">
        <f t="shared" si="22"/>
        <v/>
      </c>
      <c r="F271" s="22" t="str">
        <f t="shared" si="23"/>
        <v/>
      </c>
      <c r="G271" s="22" t="str">
        <f t="shared" si="24"/>
        <v/>
      </c>
      <c r="H271" s="49"/>
      <c r="I271" s="57" t="str">
        <f>IF(H271="","",MID(VLOOKUP(H271,Codigo_Material!$A$2:$C$9999,2,0),1,30))</f>
        <v/>
      </c>
      <c r="J271" s="57"/>
      <c r="K271" s="54" t="str">
        <f>IF(H271="","",MID(VLOOKUP(H271,Codigo_Material!$A$2:$C$6426,3,0),1,25))</f>
        <v/>
      </c>
      <c r="L271" s="19"/>
      <c r="M271" s="20"/>
      <c r="N271" s="1"/>
      <c r="O271" s="2"/>
      <c r="P271" s="58"/>
      <c r="Q271" s="58"/>
      <c r="R271" s="58"/>
      <c r="S271" s="55"/>
      <c r="T271" s="36"/>
    </row>
    <row r="272" spans="1:20" s="37" customFormat="1" x14ac:dyDescent="0.25">
      <c r="A272" s="33"/>
      <c r="B272" s="54" t="str">
        <f t="shared" si="20"/>
        <v>K4B6</v>
      </c>
      <c r="C272" s="56" t="str">
        <f t="shared" si="21"/>
        <v>OBRA</v>
      </c>
      <c r="D272" s="56"/>
      <c r="E272" s="54" t="str">
        <f t="shared" si="22"/>
        <v/>
      </c>
      <c r="F272" s="22" t="str">
        <f t="shared" si="23"/>
        <v/>
      </c>
      <c r="G272" s="22" t="str">
        <f t="shared" si="24"/>
        <v/>
      </c>
      <c r="H272" s="49"/>
      <c r="I272" s="57" t="str">
        <f>IF(H272="","",MID(VLOOKUP(H272,Codigo_Material!$A$2:$C$9999,2,0),1,30))</f>
        <v/>
      </c>
      <c r="J272" s="57"/>
      <c r="K272" s="54" t="str">
        <f>IF(H272="","",MID(VLOOKUP(H272,Codigo_Material!$A$2:$C$6426,3,0),1,25))</f>
        <v/>
      </c>
      <c r="L272" s="19"/>
      <c r="M272" s="20"/>
      <c r="N272" s="1"/>
      <c r="O272" s="2"/>
      <c r="P272" s="58"/>
      <c r="Q272" s="58"/>
      <c r="R272" s="58"/>
      <c r="S272" s="55"/>
      <c r="T272" s="36"/>
    </row>
    <row r="273" spans="1:20" s="37" customFormat="1" x14ac:dyDescent="0.25">
      <c r="A273" s="33"/>
      <c r="B273" s="54" t="str">
        <f t="shared" si="20"/>
        <v>K4B6</v>
      </c>
      <c r="C273" s="56" t="str">
        <f t="shared" si="21"/>
        <v>OBRA</v>
      </c>
      <c r="D273" s="56"/>
      <c r="E273" s="54" t="str">
        <f t="shared" si="22"/>
        <v/>
      </c>
      <c r="F273" s="22" t="str">
        <f t="shared" si="23"/>
        <v/>
      </c>
      <c r="G273" s="22" t="str">
        <f t="shared" si="24"/>
        <v/>
      </c>
      <c r="H273" s="49"/>
      <c r="I273" s="57" t="str">
        <f>IF(H273="","",MID(VLOOKUP(H273,Codigo_Material!$A$2:$C$9999,2,0),1,30))</f>
        <v/>
      </c>
      <c r="J273" s="57"/>
      <c r="K273" s="54" t="str">
        <f>IF(H273="","",MID(VLOOKUP(H273,Codigo_Material!$A$2:$C$6426,3,0),1,25))</f>
        <v/>
      </c>
      <c r="L273" s="19"/>
      <c r="M273" s="20"/>
      <c r="N273" s="1"/>
      <c r="O273" s="2"/>
      <c r="P273" s="58"/>
      <c r="Q273" s="58"/>
      <c r="R273" s="58"/>
      <c r="S273" s="55"/>
      <c r="T273" s="36"/>
    </row>
    <row r="274" spans="1:20" s="37" customFormat="1" x14ac:dyDescent="0.25">
      <c r="A274" s="33"/>
      <c r="B274" s="54" t="str">
        <f t="shared" si="20"/>
        <v>K4B6</v>
      </c>
      <c r="C274" s="56" t="str">
        <f t="shared" si="21"/>
        <v>OBRA</v>
      </c>
      <c r="D274" s="56"/>
      <c r="E274" s="54" t="str">
        <f t="shared" si="22"/>
        <v/>
      </c>
      <c r="F274" s="22" t="str">
        <f t="shared" si="23"/>
        <v/>
      </c>
      <c r="G274" s="22" t="str">
        <f t="shared" si="24"/>
        <v/>
      </c>
      <c r="H274" s="49"/>
      <c r="I274" s="57" t="str">
        <f>IF(H274="","",MID(VLOOKUP(H274,Codigo_Material!$A$2:$C$9999,2,0),1,30))</f>
        <v/>
      </c>
      <c r="J274" s="57"/>
      <c r="K274" s="54" t="str">
        <f>IF(H274="","",MID(VLOOKUP(H274,Codigo_Material!$A$2:$C$6426,3,0),1,25))</f>
        <v/>
      </c>
      <c r="L274" s="19"/>
      <c r="M274" s="20"/>
      <c r="N274" s="1"/>
      <c r="O274" s="2"/>
      <c r="P274" s="58"/>
      <c r="Q274" s="58"/>
      <c r="R274" s="58"/>
      <c r="S274" s="55"/>
      <c r="T274" s="36"/>
    </row>
    <row r="275" spans="1:20" s="37" customFormat="1" x14ac:dyDescent="0.25">
      <c r="A275" s="33"/>
      <c r="B275" s="54" t="str">
        <f t="shared" si="20"/>
        <v>K4B6</v>
      </c>
      <c r="C275" s="56" t="str">
        <f t="shared" si="21"/>
        <v>OBRA</v>
      </c>
      <c r="D275" s="56"/>
      <c r="E275" s="54" t="str">
        <f t="shared" si="22"/>
        <v/>
      </c>
      <c r="F275" s="22" t="str">
        <f t="shared" si="23"/>
        <v/>
      </c>
      <c r="G275" s="22" t="str">
        <f t="shared" si="24"/>
        <v/>
      </c>
      <c r="H275" s="49"/>
      <c r="I275" s="57" t="str">
        <f>IF(H275="","",MID(VLOOKUP(H275,Codigo_Material!$A$2:$C$9999,2,0),1,30))</f>
        <v/>
      </c>
      <c r="J275" s="57"/>
      <c r="K275" s="54" t="str">
        <f>IF(H275="","",MID(VLOOKUP(H275,Codigo_Material!$A$2:$C$6426,3,0),1,25))</f>
        <v/>
      </c>
      <c r="L275" s="19"/>
      <c r="M275" s="20"/>
      <c r="N275" s="1"/>
      <c r="O275" s="2"/>
      <c r="P275" s="58"/>
      <c r="Q275" s="58"/>
      <c r="R275" s="58"/>
      <c r="S275" s="55"/>
      <c r="T275" s="36"/>
    </row>
    <row r="276" spans="1:20" s="37" customFormat="1" x14ac:dyDescent="0.25">
      <c r="A276" s="33"/>
      <c r="B276" s="54" t="str">
        <f t="shared" si="20"/>
        <v>K4B6</v>
      </c>
      <c r="C276" s="56" t="str">
        <f t="shared" si="21"/>
        <v>OBRA</v>
      </c>
      <c r="D276" s="56"/>
      <c r="E276" s="54" t="str">
        <f t="shared" si="22"/>
        <v/>
      </c>
      <c r="F276" s="22" t="str">
        <f t="shared" si="23"/>
        <v/>
      </c>
      <c r="G276" s="22" t="str">
        <f t="shared" si="24"/>
        <v/>
      </c>
      <c r="H276" s="49"/>
      <c r="I276" s="57" t="str">
        <f>IF(H276="","",MID(VLOOKUP(H276,Codigo_Material!$A$2:$C$9999,2,0),1,30))</f>
        <v/>
      </c>
      <c r="J276" s="57"/>
      <c r="K276" s="54" t="str">
        <f>IF(H276="","",MID(VLOOKUP(H276,Codigo_Material!$A$2:$C$6426,3,0),1,25))</f>
        <v/>
      </c>
      <c r="L276" s="19"/>
      <c r="M276" s="20"/>
      <c r="N276" s="1"/>
      <c r="O276" s="2"/>
      <c r="P276" s="58"/>
      <c r="Q276" s="58"/>
      <c r="R276" s="58"/>
      <c r="S276" s="55"/>
      <c r="T276" s="36"/>
    </row>
    <row r="277" spans="1:20" s="37" customFormat="1" x14ac:dyDescent="0.25">
      <c r="A277" s="33"/>
      <c r="B277" s="54" t="str">
        <f t="shared" si="20"/>
        <v>K4B6</v>
      </c>
      <c r="C277" s="56" t="str">
        <f t="shared" si="21"/>
        <v>OBRA</v>
      </c>
      <c r="D277" s="56"/>
      <c r="E277" s="54" t="str">
        <f t="shared" si="22"/>
        <v/>
      </c>
      <c r="F277" s="22" t="str">
        <f t="shared" si="23"/>
        <v/>
      </c>
      <c r="G277" s="22" t="str">
        <f t="shared" si="24"/>
        <v/>
      </c>
      <c r="H277" s="49"/>
      <c r="I277" s="57" t="str">
        <f>IF(H277="","",MID(VLOOKUP(H277,Codigo_Material!$A$2:$C$9999,2,0),1,30))</f>
        <v/>
      </c>
      <c r="J277" s="57"/>
      <c r="K277" s="54" t="str">
        <f>IF(H277="","",MID(VLOOKUP(H277,Codigo_Material!$A$2:$C$6426,3,0),1,25))</f>
        <v/>
      </c>
      <c r="L277" s="19"/>
      <c r="M277" s="20"/>
      <c r="N277" s="1"/>
      <c r="O277" s="2"/>
      <c r="P277" s="58"/>
      <c r="Q277" s="58"/>
      <c r="R277" s="58"/>
      <c r="S277" s="55"/>
      <c r="T277" s="36"/>
    </row>
    <row r="278" spans="1:20" s="37" customFormat="1" x14ac:dyDescent="0.25">
      <c r="A278" s="33"/>
      <c r="B278" s="54" t="str">
        <f t="shared" si="20"/>
        <v>K4B6</v>
      </c>
      <c r="C278" s="56" t="str">
        <f t="shared" si="21"/>
        <v>OBRA</v>
      </c>
      <c r="D278" s="56"/>
      <c r="E278" s="54" t="str">
        <f t="shared" si="22"/>
        <v/>
      </c>
      <c r="F278" s="22" t="str">
        <f t="shared" si="23"/>
        <v/>
      </c>
      <c r="G278" s="22" t="str">
        <f t="shared" si="24"/>
        <v/>
      </c>
      <c r="H278" s="49"/>
      <c r="I278" s="57" t="str">
        <f>IF(H278="","",MID(VLOOKUP(H278,Codigo_Material!$A$2:$C$9999,2,0),1,30))</f>
        <v/>
      </c>
      <c r="J278" s="57"/>
      <c r="K278" s="54" t="str">
        <f>IF(H278="","",MID(VLOOKUP(H278,Codigo_Material!$A$2:$C$6426,3,0),1,25))</f>
        <v/>
      </c>
      <c r="L278" s="19"/>
      <c r="M278" s="20"/>
      <c r="N278" s="1"/>
      <c r="O278" s="2"/>
      <c r="P278" s="58"/>
      <c r="Q278" s="58"/>
      <c r="R278" s="58"/>
      <c r="S278" s="55"/>
      <c r="T278" s="36"/>
    </row>
    <row r="279" spans="1:20" s="37" customFormat="1" x14ac:dyDescent="0.25">
      <c r="A279" s="33"/>
      <c r="B279" s="54" t="str">
        <f t="shared" si="20"/>
        <v>K4B6</v>
      </c>
      <c r="C279" s="56" t="str">
        <f t="shared" si="21"/>
        <v>OBRA</v>
      </c>
      <c r="D279" s="56"/>
      <c r="E279" s="54" t="str">
        <f t="shared" si="22"/>
        <v/>
      </c>
      <c r="F279" s="22" t="str">
        <f t="shared" si="23"/>
        <v/>
      </c>
      <c r="G279" s="22" t="str">
        <f t="shared" si="24"/>
        <v/>
      </c>
      <c r="H279" s="49"/>
      <c r="I279" s="57" t="str">
        <f>IF(H279="","",MID(VLOOKUP(H279,Codigo_Material!$A$2:$C$9999,2,0),1,30))</f>
        <v/>
      </c>
      <c r="J279" s="57"/>
      <c r="K279" s="54" t="str">
        <f>IF(H279="","",MID(VLOOKUP(H279,Codigo_Material!$A$2:$C$6426,3,0),1,25))</f>
        <v/>
      </c>
      <c r="L279" s="19"/>
      <c r="M279" s="20"/>
      <c r="N279" s="1"/>
      <c r="O279" s="2"/>
      <c r="P279" s="58"/>
      <c r="Q279" s="58"/>
      <c r="R279" s="58"/>
      <c r="S279" s="55"/>
      <c r="T279" s="36"/>
    </row>
    <row r="280" spans="1:20" s="37" customFormat="1" x14ac:dyDescent="0.25">
      <c r="A280" s="33"/>
      <c r="B280" s="54" t="str">
        <f t="shared" si="20"/>
        <v>K4B6</v>
      </c>
      <c r="C280" s="56" t="str">
        <f t="shared" si="21"/>
        <v>OBRA</v>
      </c>
      <c r="D280" s="56"/>
      <c r="E280" s="54" t="str">
        <f t="shared" si="22"/>
        <v/>
      </c>
      <c r="F280" s="22" t="str">
        <f t="shared" si="23"/>
        <v/>
      </c>
      <c r="G280" s="22" t="str">
        <f t="shared" si="24"/>
        <v/>
      </c>
      <c r="H280" s="49"/>
      <c r="I280" s="57" t="str">
        <f>IF(H280="","",MID(VLOOKUP(H280,Codigo_Material!$A$2:$C$9999,2,0),1,30))</f>
        <v/>
      </c>
      <c r="J280" s="57"/>
      <c r="K280" s="54" t="str">
        <f>IF(H280="","",MID(VLOOKUP(H280,Codigo_Material!$A$2:$C$6426,3,0),1,25))</f>
        <v/>
      </c>
      <c r="L280" s="19"/>
      <c r="M280" s="20"/>
      <c r="N280" s="1"/>
      <c r="O280" s="2"/>
      <c r="P280" s="58"/>
      <c r="Q280" s="58"/>
      <c r="R280" s="58"/>
      <c r="S280" s="55"/>
      <c r="T280" s="36"/>
    </row>
    <row r="281" spans="1:20" s="37" customFormat="1" x14ac:dyDescent="0.25">
      <c r="A281" s="33"/>
      <c r="B281" s="54" t="str">
        <f t="shared" si="20"/>
        <v>K4B6</v>
      </c>
      <c r="C281" s="56" t="str">
        <f t="shared" si="21"/>
        <v>OBRA</v>
      </c>
      <c r="D281" s="56"/>
      <c r="E281" s="54" t="str">
        <f t="shared" si="22"/>
        <v/>
      </c>
      <c r="F281" s="22" t="str">
        <f t="shared" si="23"/>
        <v/>
      </c>
      <c r="G281" s="22" t="str">
        <f t="shared" si="24"/>
        <v/>
      </c>
      <c r="H281" s="49"/>
      <c r="I281" s="57" t="str">
        <f>IF(H281="","",MID(VLOOKUP(H281,Codigo_Material!$A$2:$C$9999,2,0),1,30))</f>
        <v/>
      </c>
      <c r="J281" s="57"/>
      <c r="K281" s="54" t="str">
        <f>IF(H281="","",MID(VLOOKUP(H281,Codigo_Material!$A$2:$C$6426,3,0),1,25))</f>
        <v/>
      </c>
      <c r="L281" s="19"/>
      <c r="M281" s="20"/>
      <c r="N281" s="1"/>
      <c r="O281" s="2"/>
      <c r="P281" s="58"/>
      <c r="Q281" s="58"/>
      <c r="R281" s="58"/>
      <c r="S281" s="55"/>
      <c r="T281" s="36"/>
    </row>
    <row r="282" spans="1:20" s="37" customFormat="1" x14ac:dyDescent="0.25">
      <c r="A282" s="33"/>
      <c r="B282" s="54" t="str">
        <f t="shared" si="20"/>
        <v>K4B6</v>
      </c>
      <c r="C282" s="56" t="str">
        <f t="shared" si="21"/>
        <v>OBRA</v>
      </c>
      <c r="D282" s="56"/>
      <c r="E282" s="54" t="str">
        <f t="shared" si="22"/>
        <v/>
      </c>
      <c r="F282" s="22" t="str">
        <f t="shared" si="23"/>
        <v/>
      </c>
      <c r="G282" s="22" t="str">
        <f t="shared" si="24"/>
        <v/>
      </c>
      <c r="H282" s="49"/>
      <c r="I282" s="57" t="str">
        <f>IF(H282="","",MID(VLOOKUP(H282,Codigo_Material!$A$2:$C$9999,2,0),1,30))</f>
        <v/>
      </c>
      <c r="J282" s="57"/>
      <c r="K282" s="54" t="str">
        <f>IF(H282="","",MID(VLOOKUP(H282,Codigo_Material!$A$2:$C$6426,3,0),1,25))</f>
        <v/>
      </c>
      <c r="L282" s="19"/>
      <c r="M282" s="20"/>
      <c r="N282" s="1"/>
      <c r="O282" s="2"/>
      <c r="P282" s="58"/>
      <c r="Q282" s="58"/>
      <c r="R282" s="58"/>
      <c r="S282" s="55"/>
      <c r="T282" s="36"/>
    </row>
    <row r="283" spans="1:20" s="37" customFormat="1" x14ac:dyDescent="0.25">
      <c r="A283" s="33"/>
      <c r="B283" s="54" t="str">
        <f t="shared" si="20"/>
        <v>K4B6</v>
      </c>
      <c r="C283" s="56" t="str">
        <f t="shared" si="21"/>
        <v>OBRA</v>
      </c>
      <c r="D283" s="56"/>
      <c r="E283" s="54" t="str">
        <f t="shared" si="22"/>
        <v/>
      </c>
      <c r="F283" s="22" t="str">
        <f t="shared" si="23"/>
        <v/>
      </c>
      <c r="G283" s="22" t="str">
        <f t="shared" si="24"/>
        <v/>
      </c>
      <c r="H283" s="49"/>
      <c r="I283" s="57" t="str">
        <f>IF(H283="","",MID(VLOOKUP(H283,Codigo_Material!$A$2:$C$9999,2,0),1,30))</f>
        <v/>
      </c>
      <c r="J283" s="57"/>
      <c r="K283" s="54" t="str">
        <f>IF(H283="","",MID(VLOOKUP(H283,Codigo_Material!$A$2:$C$6426,3,0),1,25))</f>
        <v/>
      </c>
      <c r="L283" s="19"/>
      <c r="M283" s="20"/>
      <c r="N283" s="1"/>
      <c r="O283" s="2"/>
      <c r="P283" s="58"/>
      <c r="Q283" s="58"/>
      <c r="R283" s="58"/>
      <c r="S283" s="55"/>
      <c r="T283" s="36"/>
    </row>
    <row r="284" spans="1:20" s="37" customFormat="1" x14ac:dyDescent="0.25">
      <c r="A284" s="33"/>
      <c r="B284" s="54" t="str">
        <f t="shared" si="20"/>
        <v>K4B6</v>
      </c>
      <c r="C284" s="56" t="str">
        <f t="shared" si="21"/>
        <v>OBRA</v>
      </c>
      <c r="D284" s="56"/>
      <c r="E284" s="54" t="str">
        <f t="shared" si="22"/>
        <v/>
      </c>
      <c r="F284" s="22" t="str">
        <f t="shared" si="23"/>
        <v/>
      </c>
      <c r="G284" s="22" t="str">
        <f t="shared" si="24"/>
        <v/>
      </c>
      <c r="H284" s="49"/>
      <c r="I284" s="57" t="str">
        <f>IF(H284="","",MID(VLOOKUP(H284,Codigo_Material!$A$2:$C$9999,2,0),1,30))</f>
        <v/>
      </c>
      <c r="J284" s="57"/>
      <c r="K284" s="54" t="str">
        <f>IF(H284="","",MID(VLOOKUP(H284,Codigo_Material!$A$2:$C$6426,3,0),1,25))</f>
        <v/>
      </c>
      <c r="L284" s="19"/>
      <c r="M284" s="20"/>
      <c r="N284" s="1"/>
      <c r="O284" s="2"/>
      <c r="P284" s="58"/>
      <c r="Q284" s="58"/>
      <c r="R284" s="58"/>
      <c r="S284" s="55"/>
      <c r="T284" s="36"/>
    </row>
    <row r="285" spans="1:20" s="37" customFormat="1" x14ac:dyDescent="0.25">
      <c r="A285" s="33"/>
      <c r="B285" s="54" t="str">
        <f t="shared" si="20"/>
        <v>K4B6</v>
      </c>
      <c r="C285" s="56" t="str">
        <f t="shared" si="21"/>
        <v>OBRA</v>
      </c>
      <c r="D285" s="56"/>
      <c r="E285" s="54" t="str">
        <f t="shared" si="22"/>
        <v/>
      </c>
      <c r="F285" s="22" t="str">
        <f t="shared" si="23"/>
        <v/>
      </c>
      <c r="G285" s="22" t="str">
        <f t="shared" si="24"/>
        <v/>
      </c>
      <c r="H285" s="49"/>
      <c r="I285" s="57" t="str">
        <f>IF(H285="","",MID(VLOOKUP(H285,Codigo_Material!$A$2:$C$9999,2,0),1,30))</f>
        <v/>
      </c>
      <c r="J285" s="57"/>
      <c r="K285" s="54" t="str">
        <f>IF(H285="","",MID(VLOOKUP(H285,Codigo_Material!$A$2:$C$6426,3,0),1,25))</f>
        <v/>
      </c>
      <c r="L285" s="19"/>
      <c r="M285" s="20"/>
      <c r="N285" s="1"/>
      <c r="O285" s="2"/>
      <c r="P285" s="58"/>
      <c r="Q285" s="58"/>
      <c r="R285" s="58"/>
      <c r="S285" s="55"/>
      <c r="T285" s="36"/>
    </row>
    <row r="286" spans="1:20" s="37" customFormat="1" x14ac:dyDescent="0.25">
      <c r="A286" s="33"/>
      <c r="B286" s="54" t="str">
        <f t="shared" si="20"/>
        <v>K4B6</v>
      </c>
      <c r="C286" s="56" t="str">
        <f t="shared" si="21"/>
        <v>OBRA</v>
      </c>
      <c r="D286" s="56"/>
      <c r="E286" s="54" t="str">
        <f t="shared" si="22"/>
        <v/>
      </c>
      <c r="F286" s="22" t="str">
        <f t="shared" si="23"/>
        <v/>
      </c>
      <c r="G286" s="22" t="str">
        <f t="shared" si="24"/>
        <v/>
      </c>
      <c r="H286" s="49"/>
      <c r="I286" s="57" t="str">
        <f>IF(H286="","",MID(VLOOKUP(H286,Codigo_Material!$A$2:$C$9999,2,0),1,30))</f>
        <v/>
      </c>
      <c r="J286" s="57"/>
      <c r="K286" s="54" t="str">
        <f>IF(H286="","",MID(VLOOKUP(H286,Codigo_Material!$A$2:$C$6426,3,0),1,25))</f>
        <v/>
      </c>
      <c r="L286" s="19"/>
      <c r="M286" s="20"/>
      <c r="N286" s="1"/>
      <c r="O286" s="2"/>
      <c r="P286" s="58"/>
      <c r="Q286" s="58"/>
      <c r="R286" s="58"/>
      <c r="S286" s="55"/>
      <c r="T286" s="36"/>
    </row>
    <row r="287" spans="1:20" s="37" customFormat="1" x14ac:dyDescent="0.25">
      <c r="A287" s="33"/>
      <c r="B287" s="54" t="str">
        <f t="shared" si="20"/>
        <v>K4B6</v>
      </c>
      <c r="C287" s="56" t="str">
        <f t="shared" si="21"/>
        <v>OBRA</v>
      </c>
      <c r="D287" s="56"/>
      <c r="E287" s="54" t="str">
        <f t="shared" si="22"/>
        <v/>
      </c>
      <c r="F287" s="22" t="str">
        <f t="shared" si="23"/>
        <v/>
      </c>
      <c r="G287" s="22" t="str">
        <f t="shared" si="24"/>
        <v/>
      </c>
      <c r="H287" s="49"/>
      <c r="I287" s="57" t="str">
        <f>IF(H287="","",MID(VLOOKUP(H287,Codigo_Material!$A$2:$C$9999,2,0),1,30))</f>
        <v/>
      </c>
      <c r="J287" s="57"/>
      <c r="K287" s="54" t="str">
        <f>IF(H287="","",MID(VLOOKUP(H287,Codigo_Material!$A$2:$C$6426,3,0),1,25))</f>
        <v/>
      </c>
      <c r="L287" s="19"/>
      <c r="M287" s="20"/>
      <c r="N287" s="1"/>
      <c r="O287" s="2"/>
      <c r="P287" s="58"/>
      <c r="Q287" s="58"/>
      <c r="R287" s="58"/>
      <c r="S287" s="55"/>
      <c r="T287" s="36"/>
    </row>
    <row r="288" spans="1:20" s="37" customFormat="1" x14ac:dyDescent="0.25">
      <c r="A288" s="33"/>
      <c r="B288" s="54" t="str">
        <f t="shared" si="20"/>
        <v>K4B6</v>
      </c>
      <c r="C288" s="56" t="str">
        <f t="shared" si="21"/>
        <v>OBRA</v>
      </c>
      <c r="D288" s="56"/>
      <c r="E288" s="54" t="str">
        <f t="shared" si="22"/>
        <v/>
      </c>
      <c r="F288" s="22" t="str">
        <f t="shared" si="23"/>
        <v/>
      </c>
      <c r="G288" s="22" t="str">
        <f t="shared" si="24"/>
        <v/>
      </c>
      <c r="H288" s="49"/>
      <c r="I288" s="57" t="str">
        <f>IF(H288="","",MID(VLOOKUP(H288,Codigo_Material!$A$2:$C$9999,2,0),1,30))</f>
        <v/>
      </c>
      <c r="J288" s="57"/>
      <c r="K288" s="54" t="str">
        <f>IF(H288="","",MID(VLOOKUP(H288,Codigo_Material!$A$2:$C$6426,3,0),1,25))</f>
        <v/>
      </c>
      <c r="L288" s="19"/>
      <c r="M288" s="20"/>
      <c r="N288" s="1"/>
      <c r="O288" s="2"/>
      <c r="P288" s="58"/>
      <c r="Q288" s="58"/>
      <c r="R288" s="58"/>
      <c r="S288" s="55"/>
      <c r="T288" s="36"/>
    </row>
    <row r="289" spans="1:20" s="37" customFormat="1" x14ac:dyDescent="0.25">
      <c r="A289" s="33"/>
      <c r="B289" s="54" t="str">
        <f t="shared" si="20"/>
        <v>K4B6</v>
      </c>
      <c r="C289" s="56" t="str">
        <f t="shared" si="21"/>
        <v>OBRA</v>
      </c>
      <c r="D289" s="56"/>
      <c r="E289" s="54" t="str">
        <f t="shared" si="22"/>
        <v/>
      </c>
      <c r="F289" s="22" t="str">
        <f t="shared" si="23"/>
        <v/>
      </c>
      <c r="G289" s="22" t="str">
        <f t="shared" si="24"/>
        <v/>
      </c>
      <c r="H289" s="49"/>
      <c r="I289" s="57" t="str">
        <f>IF(H289="","",MID(VLOOKUP(H289,Codigo_Material!$A$2:$C$9999,2,0),1,30))</f>
        <v/>
      </c>
      <c r="J289" s="57"/>
      <c r="K289" s="54" t="str">
        <f>IF(H289="","",MID(VLOOKUP(H289,Codigo_Material!$A$2:$C$6426,3,0),1,25))</f>
        <v/>
      </c>
      <c r="L289" s="19"/>
      <c r="M289" s="20"/>
      <c r="N289" s="1"/>
      <c r="O289" s="2"/>
      <c r="P289" s="58"/>
      <c r="Q289" s="58"/>
      <c r="R289" s="58"/>
      <c r="S289" s="55"/>
      <c r="T289" s="36"/>
    </row>
    <row r="290" spans="1:20" s="37" customFormat="1" x14ac:dyDescent="0.25">
      <c r="A290" s="33"/>
      <c r="B290" s="54" t="str">
        <f t="shared" si="20"/>
        <v>K4B6</v>
      </c>
      <c r="C290" s="56" t="str">
        <f t="shared" si="21"/>
        <v>OBRA</v>
      </c>
      <c r="D290" s="56"/>
      <c r="E290" s="54" t="str">
        <f t="shared" si="22"/>
        <v/>
      </c>
      <c r="F290" s="22" t="str">
        <f t="shared" si="23"/>
        <v/>
      </c>
      <c r="G290" s="22" t="str">
        <f t="shared" si="24"/>
        <v/>
      </c>
      <c r="H290" s="49"/>
      <c r="I290" s="57" t="str">
        <f>IF(H290="","",MID(VLOOKUP(H290,Codigo_Material!$A$2:$C$9999,2,0),1,30))</f>
        <v/>
      </c>
      <c r="J290" s="57"/>
      <c r="K290" s="54" t="str">
        <f>IF(H290="","",MID(VLOOKUP(H290,Codigo_Material!$A$2:$C$6426,3,0),1,25))</f>
        <v/>
      </c>
      <c r="L290" s="19"/>
      <c r="M290" s="20"/>
      <c r="N290" s="1"/>
      <c r="O290" s="2"/>
      <c r="P290" s="58"/>
      <c r="Q290" s="58"/>
      <c r="R290" s="58"/>
      <c r="S290" s="55"/>
      <c r="T290" s="36"/>
    </row>
    <row r="291" spans="1:20" s="37" customFormat="1" x14ac:dyDescent="0.25">
      <c r="A291" s="33"/>
      <c r="B291" s="54" t="str">
        <f t="shared" si="20"/>
        <v>K4B6</v>
      </c>
      <c r="C291" s="56" t="str">
        <f t="shared" si="21"/>
        <v>OBRA</v>
      </c>
      <c r="D291" s="56"/>
      <c r="E291" s="54" t="str">
        <f t="shared" si="22"/>
        <v/>
      </c>
      <c r="F291" s="22" t="str">
        <f t="shared" si="23"/>
        <v/>
      </c>
      <c r="G291" s="22" t="str">
        <f t="shared" si="24"/>
        <v/>
      </c>
      <c r="H291" s="49"/>
      <c r="I291" s="57" t="str">
        <f>IF(H291="","",MID(VLOOKUP(H291,Codigo_Material!$A$2:$C$9999,2,0),1,30))</f>
        <v/>
      </c>
      <c r="J291" s="57"/>
      <c r="K291" s="54" t="str">
        <f>IF(H291="","",MID(VLOOKUP(H291,Codigo_Material!$A$2:$C$6426,3,0),1,25))</f>
        <v/>
      </c>
      <c r="L291" s="19"/>
      <c r="M291" s="20"/>
      <c r="N291" s="1"/>
      <c r="O291" s="2"/>
      <c r="P291" s="58"/>
      <c r="Q291" s="58"/>
      <c r="R291" s="58"/>
      <c r="S291" s="55"/>
      <c r="T291" s="36"/>
    </row>
    <row r="292" spans="1:20" s="37" customFormat="1" x14ac:dyDescent="0.25">
      <c r="A292" s="33"/>
      <c r="B292" s="54" t="str">
        <f t="shared" si="20"/>
        <v>K4B6</v>
      </c>
      <c r="C292" s="56" t="str">
        <f t="shared" si="21"/>
        <v>OBRA</v>
      </c>
      <c r="D292" s="56"/>
      <c r="E292" s="54" t="str">
        <f t="shared" si="22"/>
        <v/>
      </c>
      <c r="F292" s="22" t="str">
        <f t="shared" si="23"/>
        <v/>
      </c>
      <c r="G292" s="22" t="str">
        <f t="shared" si="24"/>
        <v/>
      </c>
      <c r="H292" s="49"/>
      <c r="I292" s="57" t="str">
        <f>IF(H292="","",MID(VLOOKUP(H292,Codigo_Material!$A$2:$C$9999,2,0),1,30))</f>
        <v/>
      </c>
      <c r="J292" s="57"/>
      <c r="K292" s="54" t="str">
        <f>IF(H292="","",MID(VLOOKUP(H292,Codigo_Material!$A$2:$C$6426,3,0),1,25))</f>
        <v/>
      </c>
      <c r="L292" s="19"/>
      <c r="M292" s="20"/>
      <c r="N292" s="1"/>
      <c r="O292" s="2"/>
      <c r="P292" s="58"/>
      <c r="Q292" s="58"/>
      <c r="R292" s="58"/>
      <c r="S292" s="55"/>
      <c r="T292" s="36"/>
    </row>
    <row r="293" spans="1:20" s="37" customFormat="1" x14ac:dyDescent="0.25">
      <c r="A293" s="33"/>
      <c r="B293" s="54" t="str">
        <f t="shared" si="20"/>
        <v>K4B6</v>
      </c>
      <c r="C293" s="56" t="str">
        <f t="shared" si="21"/>
        <v>OBRA</v>
      </c>
      <c r="D293" s="56"/>
      <c r="E293" s="54" t="str">
        <f t="shared" si="22"/>
        <v/>
      </c>
      <c r="F293" s="22" t="str">
        <f t="shared" si="23"/>
        <v/>
      </c>
      <c r="G293" s="22" t="str">
        <f t="shared" si="24"/>
        <v/>
      </c>
      <c r="H293" s="49"/>
      <c r="I293" s="57" t="str">
        <f>IF(H293="","",MID(VLOOKUP(H293,Codigo_Material!$A$2:$C$9999,2,0),1,30))</f>
        <v/>
      </c>
      <c r="J293" s="57"/>
      <c r="K293" s="54" t="str">
        <f>IF(H293="","",MID(VLOOKUP(H293,Codigo_Material!$A$2:$C$6426,3,0),1,25))</f>
        <v/>
      </c>
      <c r="L293" s="19"/>
      <c r="M293" s="20"/>
      <c r="N293" s="1"/>
      <c r="O293" s="2"/>
      <c r="P293" s="58"/>
      <c r="Q293" s="58"/>
      <c r="R293" s="58"/>
      <c r="S293" s="55"/>
      <c r="T293" s="36"/>
    </row>
    <row r="294" spans="1:20" s="37" customFormat="1" x14ac:dyDescent="0.25">
      <c r="A294" s="33"/>
      <c r="B294" s="54" t="str">
        <f t="shared" si="20"/>
        <v>K4B6</v>
      </c>
      <c r="C294" s="56" t="str">
        <f t="shared" si="21"/>
        <v>OBRA</v>
      </c>
      <c r="D294" s="56"/>
      <c r="E294" s="54" t="str">
        <f t="shared" si="22"/>
        <v/>
      </c>
      <c r="F294" s="22" t="str">
        <f t="shared" si="23"/>
        <v/>
      </c>
      <c r="G294" s="22" t="str">
        <f t="shared" si="24"/>
        <v/>
      </c>
      <c r="H294" s="49"/>
      <c r="I294" s="57" t="str">
        <f>IF(H294="","",MID(VLOOKUP(H294,Codigo_Material!$A$2:$C$9999,2,0),1,30))</f>
        <v/>
      </c>
      <c r="J294" s="57"/>
      <c r="K294" s="54" t="str">
        <f>IF(H294="","",MID(VLOOKUP(H294,Codigo_Material!$A$2:$C$6426,3,0),1,25))</f>
        <v/>
      </c>
      <c r="L294" s="19"/>
      <c r="M294" s="20"/>
      <c r="N294" s="1"/>
      <c r="O294" s="2"/>
      <c r="P294" s="58"/>
      <c r="Q294" s="58"/>
      <c r="R294" s="58"/>
      <c r="S294" s="55"/>
      <c r="T294" s="36"/>
    </row>
    <row r="295" spans="1:20" s="37" customFormat="1" x14ac:dyDescent="0.25">
      <c r="A295" s="33"/>
      <c r="B295" s="54" t="str">
        <f t="shared" si="20"/>
        <v>K4B6</v>
      </c>
      <c r="C295" s="56" t="str">
        <f t="shared" si="21"/>
        <v>OBRA</v>
      </c>
      <c r="D295" s="56"/>
      <c r="E295" s="54" t="str">
        <f t="shared" si="22"/>
        <v/>
      </c>
      <c r="F295" s="22" t="str">
        <f t="shared" si="23"/>
        <v/>
      </c>
      <c r="G295" s="22" t="str">
        <f t="shared" si="24"/>
        <v/>
      </c>
      <c r="H295" s="49"/>
      <c r="I295" s="57" t="str">
        <f>IF(H295="","",MID(VLOOKUP(H295,Codigo_Material!$A$2:$C$9999,2,0),1,30))</f>
        <v/>
      </c>
      <c r="J295" s="57"/>
      <c r="K295" s="54" t="str">
        <f>IF(H295="","",MID(VLOOKUP(H295,Codigo_Material!$A$2:$C$6426,3,0),1,25))</f>
        <v/>
      </c>
      <c r="L295" s="19"/>
      <c r="M295" s="20"/>
      <c r="N295" s="1"/>
      <c r="O295" s="2"/>
      <c r="P295" s="58"/>
      <c r="Q295" s="58"/>
      <c r="R295" s="58"/>
      <c r="S295" s="55"/>
      <c r="T295" s="36"/>
    </row>
    <row r="296" spans="1:20" s="37" customFormat="1" x14ac:dyDescent="0.25">
      <c r="A296" s="33"/>
      <c r="B296" s="54" t="str">
        <f t="shared" si="20"/>
        <v>K4B6</v>
      </c>
      <c r="C296" s="56" t="str">
        <f t="shared" si="21"/>
        <v>OBRA</v>
      </c>
      <c r="D296" s="56"/>
      <c r="E296" s="54" t="str">
        <f t="shared" si="22"/>
        <v/>
      </c>
      <c r="F296" s="22" t="str">
        <f t="shared" si="23"/>
        <v/>
      </c>
      <c r="G296" s="22" t="str">
        <f t="shared" si="24"/>
        <v/>
      </c>
      <c r="H296" s="49"/>
      <c r="I296" s="57" t="str">
        <f>IF(H296="","",MID(VLOOKUP(H296,Codigo_Material!$A$2:$C$9999,2,0),1,30))</f>
        <v/>
      </c>
      <c r="J296" s="57"/>
      <c r="K296" s="54" t="str">
        <f>IF(H296="","",MID(VLOOKUP(H296,Codigo_Material!$A$2:$C$6426,3,0),1,25))</f>
        <v/>
      </c>
      <c r="L296" s="19"/>
      <c r="M296" s="20"/>
      <c r="N296" s="1"/>
      <c r="O296" s="2"/>
      <c r="P296" s="58"/>
      <c r="Q296" s="58"/>
      <c r="R296" s="58"/>
      <c r="S296" s="55"/>
      <c r="T296" s="36"/>
    </row>
    <row r="297" spans="1:20" s="37" customFormat="1" x14ac:dyDescent="0.25">
      <c r="A297" s="33"/>
      <c r="B297" s="54" t="str">
        <f t="shared" si="20"/>
        <v>K4B6</v>
      </c>
      <c r="C297" s="56" t="str">
        <f t="shared" si="21"/>
        <v>OBRA</v>
      </c>
      <c r="D297" s="56"/>
      <c r="E297" s="54" t="str">
        <f t="shared" si="22"/>
        <v/>
      </c>
      <c r="F297" s="22" t="str">
        <f t="shared" si="23"/>
        <v/>
      </c>
      <c r="G297" s="22" t="str">
        <f t="shared" si="24"/>
        <v/>
      </c>
      <c r="H297" s="49"/>
      <c r="I297" s="57" t="str">
        <f>IF(H297="","",MID(VLOOKUP(H297,Codigo_Material!$A$2:$C$9999,2,0),1,30))</f>
        <v/>
      </c>
      <c r="J297" s="57"/>
      <c r="K297" s="54" t="str">
        <f>IF(H297="","",MID(VLOOKUP(H297,Codigo_Material!$A$2:$C$6426,3,0),1,25))</f>
        <v/>
      </c>
      <c r="L297" s="19"/>
      <c r="M297" s="20"/>
      <c r="N297" s="1"/>
      <c r="O297" s="2"/>
      <c r="P297" s="58"/>
      <c r="Q297" s="58"/>
      <c r="R297" s="58"/>
      <c r="S297" s="55"/>
      <c r="T297" s="36"/>
    </row>
    <row r="298" spans="1:20" s="37" customFormat="1" x14ac:dyDescent="0.25">
      <c r="A298" s="33"/>
      <c r="B298" s="54" t="str">
        <f t="shared" si="20"/>
        <v>K4B6</v>
      </c>
      <c r="C298" s="56" t="str">
        <f t="shared" si="21"/>
        <v>OBRA</v>
      </c>
      <c r="D298" s="56"/>
      <c r="E298" s="54" t="str">
        <f t="shared" si="22"/>
        <v/>
      </c>
      <c r="F298" s="22" t="str">
        <f t="shared" si="23"/>
        <v/>
      </c>
      <c r="G298" s="22" t="str">
        <f t="shared" si="24"/>
        <v/>
      </c>
      <c r="H298" s="49"/>
      <c r="I298" s="57" t="str">
        <f>IF(H298="","",MID(VLOOKUP(H298,Codigo_Material!$A$2:$C$9999,2,0),1,30))</f>
        <v/>
      </c>
      <c r="J298" s="57"/>
      <c r="K298" s="54" t="str">
        <f>IF(H298="","",MID(VLOOKUP(H298,Codigo_Material!$A$2:$C$6426,3,0),1,25))</f>
        <v/>
      </c>
      <c r="L298" s="19"/>
      <c r="M298" s="20"/>
      <c r="N298" s="1"/>
      <c r="O298" s="2"/>
      <c r="P298" s="58"/>
      <c r="Q298" s="58"/>
      <c r="R298" s="58"/>
      <c r="S298" s="55"/>
      <c r="T298" s="36"/>
    </row>
    <row r="299" spans="1:20" s="37" customFormat="1" x14ac:dyDescent="0.25">
      <c r="A299" s="33"/>
      <c r="B299" s="54" t="str">
        <f t="shared" si="20"/>
        <v>K4B6</v>
      </c>
      <c r="C299" s="56" t="str">
        <f t="shared" si="21"/>
        <v>OBRA</v>
      </c>
      <c r="D299" s="56"/>
      <c r="E299" s="54" t="str">
        <f t="shared" si="22"/>
        <v/>
      </c>
      <c r="F299" s="22" t="str">
        <f t="shared" si="23"/>
        <v/>
      </c>
      <c r="G299" s="22" t="str">
        <f t="shared" si="24"/>
        <v/>
      </c>
      <c r="H299" s="49"/>
      <c r="I299" s="57" t="str">
        <f>IF(H299="","",MID(VLOOKUP(H299,Codigo_Material!$A$2:$C$9999,2,0),1,30))</f>
        <v/>
      </c>
      <c r="J299" s="57"/>
      <c r="K299" s="54" t="str">
        <f>IF(H299="","",MID(VLOOKUP(H299,Codigo_Material!$A$2:$C$6426,3,0),1,25))</f>
        <v/>
      </c>
      <c r="L299" s="19"/>
      <c r="M299" s="20"/>
      <c r="N299" s="1"/>
      <c r="O299" s="2"/>
      <c r="P299" s="58"/>
      <c r="Q299" s="58"/>
      <c r="R299" s="58"/>
      <c r="S299" s="55"/>
      <c r="T299" s="36"/>
    </row>
    <row r="300" spans="1:20" s="37" customFormat="1" x14ac:dyDescent="0.25">
      <c r="A300" s="33"/>
      <c r="B300" s="54" t="str">
        <f t="shared" si="20"/>
        <v>K4B6</v>
      </c>
      <c r="C300" s="56" t="str">
        <f t="shared" si="21"/>
        <v>OBRA</v>
      </c>
      <c r="D300" s="56"/>
      <c r="E300" s="54" t="str">
        <f t="shared" si="22"/>
        <v/>
      </c>
      <c r="F300" s="22" t="str">
        <f t="shared" si="23"/>
        <v/>
      </c>
      <c r="G300" s="22" t="str">
        <f t="shared" si="24"/>
        <v/>
      </c>
      <c r="H300" s="49"/>
      <c r="I300" s="57" t="str">
        <f>IF(H300="","",MID(VLOOKUP(H300,Codigo_Material!$A$2:$C$9999,2,0),1,30))</f>
        <v/>
      </c>
      <c r="J300" s="57"/>
      <c r="K300" s="54" t="str">
        <f>IF(H300="","",MID(VLOOKUP(H300,Codigo_Material!$A$2:$C$6426,3,0),1,25))</f>
        <v/>
      </c>
      <c r="L300" s="19"/>
      <c r="M300" s="20"/>
      <c r="N300" s="1"/>
      <c r="O300" s="2"/>
      <c r="P300" s="58"/>
      <c r="Q300" s="58"/>
      <c r="R300" s="58"/>
      <c r="S300" s="55"/>
      <c r="T300" s="36"/>
    </row>
    <row r="301" spans="1:20" s="37" customFormat="1" x14ac:dyDescent="0.25">
      <c r="A301" s="33"/>
      <c r="B301" s="54" t="str">
        <f t="shared" si="20"/>
        <v>K4B6</v>
      </c>
      <c r="C301" s="56" t="str">
        <f t="shared" si="21"/>
        <v>OBRA</v>
      </c>
      <c r="D301" s="56"/>
      <c r="E301" s="54" t="str">
        <f t="shared" si="22"/>
        <v/>
      </c>
      <c r="F301" s="22" t="str">
        <f t="shared" si="23"/>
        <v/>
      </c>
      <c r="G301" s="22" t="str">
        <f t="shared" si="24"/>
        <v/>
      </c>
      <c r="H301" s="49"/>
      <c r="I301" s="57" t="str">
        <f>IF(H301="","",MID(VLOOKUP(H301,Codigo_Material!$A$2:$C$9999,2,0),1,30))</f>
        <v/>
      </c>
      <c r="J301" s="57"/>
      <c r="K301" s="54" t="str">
        <f>IF(H301="","",MID(VLOOKUP(H301,Codigo_Material!$A$2:$C$6426,3,0),1,25))</f>
        <v/>
      </c>
      <c r="L301" s="19"/>
      <c r="M301" s="20"/>
      <c r="N301" s="1"/>
      <c r="O301" s="2"/>
      <c r="P301" s="58"/>
      <c r="Q301" s="58"/>
      <c r="R301" s="58"/>
      <c r="S301" s="55"/>
      <c r="T301" s="36"/>
    </row>
    <row r="302" spans="1:20" s="37" customFormat="1" x14ac:dyDescent="0.25">
      <c r="A302" s="33"/>
      <c r="B302" s="54" t="str">
        <f t="shared" si="20"/>
        <v>K4B6</v>
      </c>
      <c r="C302" s="56" t="str">
        <f t="shared" si="21"/>
        <v>OBRA</v>
      </c>
      <c r="D302" s="56"/>
      <c r="E302" s="54" t="str">
        <f t="shared" si="22"/>
        <v/>
      </c>
      <c r="F302" s="22" t="str">
        <f t="shared" si="23"/>
        <v/>
      </c>
      <c r="G302" s="22" t="str">
        <f t="shared" si="24"/>
        <v/>
      </c>
      <c r="H302" s="49"/>
      <c r="I302" s="57" t="str">
        <f>IF(H302="","",MID(VLOOKUP(H302,Codigo_Material!$A$2:$C$9999,2,0),1,30))</f>
        <v/>
      </c>
      <c r="J302" s="57"/>
      <c r="K302" s="54" t="str">
        <f>IF(H302="","",MID(VLOOKUP(H302,Codigo_Material!$A$2:$C$6426,3,0),1,25))</f>
        <v/>
      </c>
      <c r="L302" s="19"/>
      <c r="M302" s="20"/>
      <c r="N302" s="1"/>
      <c r="O302" s="2"/>
      <c r="P302" s="58"/>
      <c r="Q302" s="58"/>
      <c r="R302" s="58"/>
      <c r="S302" s="55"/>
      <c r="T302" s="36"/>
    </row>
    <row r="303" spans="1:20" s="37" customFormat="1" x14ac:dyDescent="0.25">
      <c r="A303" s="33"/>
      <c r="B303" s="54" t="str">
        <f t="shared" si="20"/>
        <v>K4B6</v>
      </c>
      <c r="C303" s="56" t="str">
        <f t="shared" si="21"/>
        <v>OBRA</v>
      </c>
      <c r="D303" s="56"/>
      <c r="E303" s="54" t="str">
        <f t="shared" si="22"/>
        <v/>
      </c>
      <c r="F303" s="22" t="str">
        <f t="shared" si="23"/>
        <v/>
      </c>
      <c r="G303" s="22" t="str">
        <f t="shared" si="24"/>
        <v/>
      </c>
      <c r="H303" s="49"/>
      <c r="I303" s="57" t="str">
        <f>IF(H303="","",MID(VLOOKUP(H303,Codigo_Material!$A$2:$C$9999,2,0),1,30))</f>
        <v/>
      </c>
      <c r="J303" s="57"/>
      <c r="K303" s="54" t="str">
        <f>IF(H303="","",MID(VLOOKUP(H303,Codigo_Material!$A$2:$C$6426,3,0),1,25))</f>
        <v/>
      </c>
      <c r="L303" s="19"/>
      <c r="M303" s="20"/>
      <c r="N303" s="1"/>
      <c r="O303" s="2"/>
      <c r="P303" s="58"/>
      <c r="Q303" s="58"/>
      <c r="R303" s="58"/>
      <c r="S303" s="55"/>
      <c r="T303" s="36"/>
    </row>
    <row r="304" spans="1:20" s="37" customFormat="1" x14ac:dyDescent="0.25">
      <c r="A304" s="33"/>
      <c r="B304" s="54" t="str">
        <f t="shared" si="20"/>
        <v>K4B6</v>
      </c>
      <c r="C304" s="56" t="str">
        <f t="shared" si="21"/>
        <v>OBRA</v>
      </c>
      <c r="D304" s="56"/>
      <c r="E304" s="54" t="str">
        <f t="shared" si="22"/>
        <v/>
      </c>
      <c r="F304" s="22" t="str">
        <f t="shared" si="23"/>
        <v/>
      </c>
      <c r="G304" s="22" t="str">
        <f t="shared" si="24"/>
        <v/>
      </c>
      <c r="H304" s="49"/>
      <c r="I304" s="57" t="str">
        <f>IF(H304="","",MID(VLOOKUP(H304,Codigo_Material!$A$2:$C$9999,2,0),1,30))</f>
        <v/>
      </c>
      <c r="J304" s="57"/>
      <c r="K304" s="54" t="str">
        <f>IF(H304="","",MID(VLOOKUP(H304,Codigo_Material!$A$2:$C$6426,3,0),1,25))</f>
        <v/>
      </c>
      <c r="L304" s="19"/>
      <c r="M304" s="20"/>
      <c r="N304" s="1"/>
      <c r="O304" s="2"/>
      <c r="P304" s="58"/>
      <c r="Q304" s="58"/>
      <c r="R304" s="58"/>
      <c r="S304" s="55"/>
      <c r="T304" s="36"/>
    </row>
    <row r="305" spans="1:20" s="37" customFormat="1" x14ac:dyDescent="0.25">
      <c r="A305" s="33"/>
      <c r="B305" s="54" t="str">
        <f t="shared" si="20"/>
        <v>K4B6</v>
      </c>
      <c r="C305" s="56" t="str">
        <f t="shared" si="21"/>
        <v>OBRA</v>
      </c>
      <c r="D305" s="56"/>
      <c r="E305" s="54" t="str">
        <f t="shared" si="22"/>
        <v/>
      </c>
      <c r="F305" s="22" t="str">
        <f t="shared" si="23"/>
        <v/>
      </c>
      <c r="G305" s="22" t="str">
        <f t="shared" si="24"/>
        <v/>
      </c>
      <c r="H305" s="49"/>
      <c r="I305" s="57" t="str">
        <f>IF(H305="","",MID(VLOOKUP(H305,Codigo_Material!$A$2:$C$9999,2,0),1,30))</f>
        <v/>
      </c>
      <c r="J305" s="57"/>
      <c r="K305" s="54" t="str">
        <f>IF(H305="","",MID(VLOOKUP(H305,Codigo_Material!$A$2:$C$6426,3,0),1,25))</f>
        <v/>
      </c>
      <c r="L305" s="19"/>
      <c r="M305" s="20"/>
      <c r="N305" s="1"/>
      <c r="O305" s="2"/>
      <c r="P305" s="58"/>
      <c r="Q305" s="58"/>
      <c r="R305" s="58"/>
      <c r="S305" s="55"/>
      <c r="T305" s="36"/>
    </row>
    <row r="306" spans="1:20" s="37" customFormat="1" x14ac:dyDescent="0.25">
      <c r="A306" s="33"/>
      <c r="B306" s="54" t="str">
        <f t="shared" si="20"/>
        <v>K4B6</v>
      </c>
      <c r="C306" s="56" t="str">
        <f t="shared" si="21"/>
        <v>OBRA</v>
      </c>
      <c r="D306" s="56"/>
      <c r="E306" s="54" t="str">
        <f t="shared" si="22"/>
        <v/>
      </c>
      <c r="F306" s="22" t="str">
        <f t="shared" si="23"/>
        <v/>
      </c>
      <c r="G306" s="22" t="str">
        <f t="shared" si="24"/>
        <v/>
      </c>
      <c r="H306" s="49"/>
      <c r="I306" s="57" t="str">
        <f>IF(H306="","",MID(VLOOKUP(H306,Codigo_Material!$A$2:$C$9999,2,0),1,30))</f>
        <v/>
      </c>
      <c r="J306" s="57"/>
      <c r="K306" s="54" t="str">
        <f>IF(H306="","",MID(VLOOKUP(H306,Codigo_Material!$A$2:$C$6426,3,0),1,25))</f>
        <v/>
      </c>
      <c r="L306" s="19"/>
      <c r="M306" s="20"/>
      <c r="N306" s="1"/>
      <c r="O306" s="2"/>
      <c r="P306" s="58"/>
      <c r="Q306" s="58"/>
      <c r="R306" s="58"/>
      <c r="S306" s="55"/>
      <c r="T306" s="36"/>
    </row>
    <row r="307" spans="1:20" s="37" customFormat="1" x14ac:dyDescent="0.25">
      <c r="A307" s="33"/>
      <c r="B307" s="54" t="str">
        <f t="shared" si="20"/>
        <v>K4B6</v>
      </c>
      <c r="C307" s="56" t="str">
        <f t="shared" si="21"/>
        <v>OBRA</v>
      </c>
      <c r="D307" s="56"/>
      <c r="E307" s="54" t="str">
        <f t="shared" si="22"/>
        <v/>
      </c>
      <c r="F307" s="22" t="str">
        <f t="shared" si="23"/>
        <v/>
      </c>
      <c r="G307" s="22" t="str">
        <f t="shared" si="24"/>
        <v/>
      </c>
      <c r="H307" s="49"/>
      <c r="I307" s="57" t="str">
        <f>IF(H307="","",MID(VLOOKUP(H307,Codigo_Material!$A$2:$C$9999,2,0),1,30))</f>
        <v/>
      </c>
      <c r="J307" s="57"/>
      <c r="K307" s="54" t="str">
        <f>IF(H307="","",MID(VLOOKUP(H307,Codigo_Material!$A$2:$C$6426,3,0),1,25))</f>
        <v/>
      </c>
      <c r="L307" s="19"/>
      <c r="M307" s="20"/>
      <c r="N307" s="1"/>
      <c r="O307" s="2"/>
      <c r="P307" s="58"/>
      <c r="Q307" s="58"/>
      <c r="R307" s="58"/>
      <c r="S307" s="55"/>
      <c r="T307" s="36"/>
    </row>
    <row r="308" spans="1:20" s="37" customFormat="1" x14ac:dyDescent="0.25">
      <c r="A308" s="33"/>
      <c r="B308" s="54" t="str">
        <f t="shared" si="20"/>
        <v>K4B6</v>
      </c>
      <c r="C308" s="56" t="str">
        <f t="shared" si="21"/>
        <v>OBRA</v>
      </c>
      <c r="D308" s="56"/>
      <c r="E308" s="54" t="str">
        <f t="shared" si="22"/>
        <v/>
      </c>
      <c r="F308" s="22" t="str">
        <f t="shared" si="23"/>
        <v/>
      </c>
      <c r="G308" s="22" t="str">
        <f t="shared" si="24"/>
        <v/>
      </c>
      <c r="H308" s="49"/>
      <c r="I308" s="57" t="str">
        <f>IF(H308="","",MID(VLOOKUP(H308,Codigo_Material!$A$2:$C$9999,2,0),1,30))</f>
        <v/>
      </c>
      <c r="J308" s="57"/>
      <c r="K308" s="54" t="str">
        <f>IF(H308="","",MID(VLOOKUP(H308,Codigo_Material!$A$2:$C$6426,3,0),1,25))</f>
        <v/>
      </c>
      <c r="L308" s="19"/>
      <c r="M308" s="20"/>
      <c r="N308" s="1"/>
      <c r="O308" s="2"/>
      <c r="P308" s="58"/>
      <c r="Q308" s="58"/>
      <c r="R308" s="58"/>
      <c r="S308" s="55"/>
      <c r="T308" s="36"/>
    </row>
    <row r="309" spans="1:20" s="37" customFormat="1" x14ac:dyDescent="0.25">
      <c r="A309" s="33"/>
      <c r="B309" s="54" t="str">
        <f t="shared" si="20"/>
        <v>K4B6</v>
      </c>
      <c r="C309" s="56" t="str">
        <f t="shared" si="21"/>
        <v>OBRA</v>
      </c>
      <c r="D309" s="56"/>
      <c r="E309" s="54" t="str">
        <f t="shared" si="22"/>
        <v/>
      </c>
      <c r="F309" s="22" t="str">
        <f t="shared" si="23"/>
        <v/>
      </c>
      <c r="G309" s="22" t="str">
        <f t="shared" si="24"/>
        <v/>
      </c>
      <c r="H309" s="49"/>
      <c r="I309" s="57" t="str">
        <f>IF(H309="","",MID(VLOOKUP(H309,Codigo_Material!$A$2:$C$9999,2,0),1,30))</f>
        <v/>
      </c>
      <c r="J309" s="57"/>
      <c r="K309" s="54" t="str">
        <f>IF(H309="","",MID(VLOOKUP(H309,Codigo_Material!$A$2:$C$6426,3,0),1,25))</f>
        <v/>
      </c>
      <c r="L309" s="19"/>
      <c r="M309" s="20"/>
      <c r="N309" s="1"/>
      <c r="O309" s="2"/>
      <c r="P309" s="58"/>
      <c r="Q309" s="58"/>
      <c r="R309" s="58"/>
      <c r="S309" s="55"/>
      <c r="T309" s="36"/>
    </row>
    <row r="310" spans="1:20" s="37" customFormat="1" x14ac:dyDescent="0.25">
      <c r="A310" s="33"/>
      <c r="B310" s="54" t="str">
        <f t="shared" si="20"/>
        <v>K4B6</v>
      </c>
      <c r="C310" s="56" t="str">
        <f t="shared" si="21"/>
        <v>OBRA</v>
      </c>
      <c r="D310" s="56"/>
      <c r="E310" s="54" t="str">
        <f t="shared" si="22"/>
        <v/>
      </c>
      <c r="F310" s="22" t="str">
        <f t="shared" si="23"/>
        <v/>
      </c>
      <c r="G310" s="22" t="str">
        <f t="shared" si="24"/>
        <v/>
      </c>
      <c r="H310" s="49"/>
      <c r="I310" s="57" t="str">
        <f>IF(H310="","",MID(VLOOKUP(H310,Codigo_Material!$A$2:$C$9999,2,0),1,30))</f>
        <v/>
      </c>
      <c r="J310" s="57"/>
      <c r="K310" s="54" t="str">
        <f>IF(H310="","",MID(VLOOKUP(H310,Codigo_Material!$A$2:$C$6426,3,0),1,25))</f>
        <v/>
      </c>
      <c r="L310" s="19"/>
      <c r="M310" s="20"/>
      <c r="N310" s="1"/>
      <c r="O310" s="2"/>
      <c r="P310" s="58"/>
      <c r="Q310" s="58"/>
      <c r="R310" s="58"/>
      <c r="S310" s="55"/>
      <c r="T310" s="36"/>
    </row>
    <row r="311" spans="1:20" s="37" customFormat="1" x14ac:dyDescent="0.25">
      <c r="A311" s="33"/>
      <c r="B311" s="54" t="str">
        <f t="shared" si="20"/>
        <v>K4B6</v>
      </c>
      <c r="C311" s="56" t="str">
        <f t="shared" si="21"/>
        <v>OBRA</v>
      </c>
      <c r="D311" s="56"/>
      <c r="E311" s="54" t="str">
        <f t="shared" si="22"/>
        <v/>
      </c>
      <c r="F311" s="22" t="str">
        <f t="shared" si="23"/>
        <v/>
      </c>
      <c r="G311" s="22" t="str">
        <f t="shared" si="24"/>
        <v/>
      </c>
      <c r="H311" s="49"/>
      <c r="I311" s="57" t="str">
        <f>IF(H311="","",MID(VLOOKUP(H311,Codigo_Material!$A$2:$C$9999,2,0),1,30))</f>
        <v/>
      </c>
      <c r="J311" s="57"/>
      <c r="K311" s="54" t="str">
        <f>IF(H311="","",MID(VLOOKUP(H311,Codigo_Material!$A$2:$C$6426,3,0),1,25))</f>
        <v/>
      </c>
      <c r="L311" s="19"/>
      <c r="M311" s="20"/>
      <c r="N311" s="1"/>
      <c r="O311" s="2"/>
      <c r="P311" s="58"/>
      <c r="Q311" s="58"/>
      <c r="R311" s="58"/>
      <c r="S311" s="55"/>
      <c r="T311" s="36"/>
    </row>
    <row r="312" spans="1:20" s="37" customFormat="1" x14ac:dyDescent="0.25">
      <c r="A312" s="33"/>
      <c r="B312" s="54" t="str">
        <f t="shared" si="20"/>
        <v>K4B6</v>
      </c>
      <c r="C312" s="56" t="str">
        <f t="shared" si="21"/>
        <v>OBRA</v>
      </c>
      <c r="D312" s="56"/>
      <c r="E312" s="54" t="str">
        <f t="shared" si="22"/>
        <v/>
      </c>
      <c r="F312" s="22" t="str">
        <f t="shared" si="23"/>
        <v/>
      </c>
      <c r="G312" s="22" t="str">
        <f t="shared" si="24"/>
        <v/>
      </c>
      <c r="H312" s="49"/>
      <c r="I312" s="57" t="str">
        <f>IF(H312="","",MID(VLOOKUP(H312,Codigo_Material!$A$2:$C$9999,2,0),1,30))</f>
        <v/>
      </c>
      <c r="J312" s="57"/>
      <c r="K312" s="54" t="str">
        <f>IF(H312="","",MID(VLOOKUP(H312,Codigo_Material!$A$2:$C$6426,3,0),1,25))</f>
        <v/>
      </c>
      <c r="L312" s="19"/>
      <c r="M312" s="20"/>
      <c r="N312" s="1"/>
      <c r="O312" s="2"/>
      <c r="P312" s="58"/>
      <c r="Q312" s="58"/>
      <c r="R312" s="58"/>
      <c r="S312" s="55"/>
      <c r="T312" s="36"/>
    </row>
    <row r="313" spans="1:20" s="37" customFormat="1" x14ac:dyDescent="0.25">
      <c r="A313" s="33"/>
      <c r="B313" s="54" t="str">
        <f t="shared" si="20"/>
        <v>K4B6</v>
      </c>
      <c r="C313" s="56" t="str">
        <f t="shared" si="21"/>
        <v>OBRA</v>
      </c>
      <c r="D313" s="56"/>
      <c r="E313" s="54" t="str">
        <f t="shared" si="22"/>
        <v/>
      </c>
      <c r="F313" s="22" t="str">
        <f t="shared" si="23"/>
        <v/>
      </c>
      <c r="G313" s="22" t="str">
        <f t="shared" si="24"/>
        <v/>
      </c>
      <c r="H313" s="49"/>
      <c r="I313" s="57" t="str">
        <f>IF(H313="","",MID(VLOOKUP(H313,Codigo_Material!$A$2:$C$9999,2,0),1,30))</f>
        <v/>
      </c>
      <c r="J313" s="57"/>
      <c r="K313" s="54" t="str">
        <f>IF(H313="","",MID(VLOOKUP(H313,Codigo_Material!$A$2:$C$6426,3,0),1,25))</f>
        <v/>
      </c>
      <c r="L313" s="19"/>
      <c r="M313" s="20"/>
      <c r="N313" s="1"/>
      <c r="O313" s="2"/>
      <c r="P313" s="58"/>
      <c r="Q313" s="58"/>
      <c r="R313" s="58"/>
      <c r="S313" s="55"/>
      <c r="T313" s="36"/>
    </row>
    <row r="314" spans="1:20" s="37" customFormat="1" x14ac:dyDescent="0.25">
      <c r="A314" s="33"/>
      <c r="B314" s="54" t="str">
        <f t="shared" si="20"/>
        <v>K4B6</v>
      </c>
      <c r="C314" s="56" t="str">
        <f t="shared" si="21"/>
        <v>OBRA</v>
      </c>
      <c r="D314" s="56"/>
      <c r="E314" s="54" t="str">
        <f t="shared" si="22"/>
        <v/>
      </c>
      <c r="F314" s="22" t="str">
        <f t="shared" si="23"/>
        <v/>
      </c>
      <c r="G314" s="22" t="str">
        <f t="shared" si="24"/>
        <v/>
      </c>
      <c r="H314" s="49"/>
      <c r="I314" s="57" t="str">
        <f>IF(H314="","",MID(VLOOKUP(H314,Codigo_Material!$A$2:$C$9999,2,0),1,30))</f>
        <v/>
      </c>
      <c r="J314" s="57"/>
      <c r="K314" s="54" t="str">
        <f>IF(H314="","",MID(VLOOKUP(H314,Codigo_Material!$A$2:$C$6426,3,0),1,25))</f>
        <v/>
      </c>
      <c r="L314" s="19"/>
      <c r="M314" s="20"/>
      <c r="N314" s="1"/>
      <c r="O314" s="2"/>
      <c r="P314" s="58"/>
      <c r="Q314" s="58"/>
      <c r="R314" s="58"/>
      <c r="S314" s="55"/>
      <c r="T314" s="36"/>
    </row>
    <row r="315" spans="1:20" s="37" customFormat="1" x14ac:dyDescent="0.25">
      <c r="A315" s="33"/>
      <c r="B315" s="54" t="str">
        <f t="shared" si="20"/>
        <v>K4B6</v>
      </c>
      <c r="C315" s="56" t="str">
        <f t="shared" si="21"/>
        <v>OBRA</v>
      </c>
      <c r="D315" s="56"/>
      <c r="E315" s="54" t="str">
        <f t="shared" si="22"/>
        <v/>
      </c>
      <c r="F315" s="22" t="str">
        <f t="shared" si="23"/>
        <v/>
      </c>
      <c r="G315" s="22" t="str">
        <f t="shared" si="24"/>
        <v/>
      </c>
      <c r="H315" s="49"/>
      <c r="I315" s="57" t="str">
        <f>IF(H315="","",MID(VLOOKUP(H315,Codigo_Material!$A$2:$C$9999,2,0),1,30))</f>
        <v/>
      </c>
      <c r="J315" s="57"/>
      <c r="K315" s="54" t="str">
        <f>IF(H315="","",MID(VLOOKUP(H315,Codigo_Material!$A$2:$C$6426,3,0),1,25))</f>
        <v/>
      </c>
      <c r="L315" s="19"/>
      <c r="M315" s="20"/>
      <c r="N315" s="1"/>
      <c r="O315" s="2"/>
      <c r="P315" s="58"/>
      <c r="Q315" s="58"/>
      <c r="R315" s="58"/>
      <c r="S315" s="55"/>
      <c r="T315" s="36"/>
    </row>
    <row r="316" spans="1:20" s="37" customFormat="1" x14ac:dyDescent="0.25">
      <c r="A316" s="33"/>
      <c r="B316" s="54" t="str">
        <f t="shared" si="20"/>
        <v>K4B6</v>
      </c>
      <c r="C316" s="56" t="str">
        <f t="shared" si="21"/>
        <v>OBRA</v>
      </c>
      <c r="D316" s="56"/>
      <c r="E316" s="54" t="str">
        <f t="shared" si="22"/>
        <v/>
      </c>
      <c r="F316" s="22" t="str">
        <f t="shared" si="23"/>
        <v/>
      </c>
      <c r="G316" s="22" t="str">
        <f t="shared" si="24"/>
        <v/>
      </c>
      <c r="H316" s="49"/>
      <c r="I316" s="57" t="str">
        <f>IF(H316="","",MID(VLOOKUP(H316,Codigo_Material!$A$2:$C$9999,2,0),1,30))</f>
        <v/>
      </c>
      <c r="J316" s="57"/>
      <c r="K316" s="54" t="str">
        <f>IF(H316="","",MID(VLOOKUP(H316,Codigo_Material!$A$2:$C$6426,3,0),1,25))</f>
        <v/>
      </c>
      <c r="L316" s="19"/>
      <c r="M316" s="20"/>
      <c r="N316" s="1"/>
      <c r="O316" s="2"/>
      <c r="P316" s="58"/>
      <c r="Q316" s="58"/>
      <c r="R316" s="58"/>
      <c r="S316" s="55"/>
      <c r="T316" s="36"/>
    </row>
    <row r="317" spans="1:20" s="37" customFormat="1" x14ac:dyDescent="0.25">
      <c r="A317" s="33"/>
      <c r="B317" s="54" t="str">
        <f t="shared" si="20"/>
        <v>K4B6</v>
      </c>
      <c r="C317" s="56" t="str">
        <f t="shared" si="21"/>
        <v>OBRA</v>
      </c>
      <c r="D317" s="56"/>
      <c r="E317" s="54" t="str">
        <f t="shared" si="22"/>
        <v/>
      </c>
      <c r="F317" s="22" t="str">
        <f t="shared" si="23"/>
        <v/>
      </c>
      <c r="G317" s="22" t="str">
        <f t="shared" si="24"/>
        <v/>
      </c>
      <c r="H317" s="49"/>
      <c r="I317" s="57" t="str">
        <f>IF(H317="","",MID(VLOOKUP(H317,Codigo_Material!$A$2:$C$9999,2,0),1,30))</f>
        <v/>
      </c>
      <c r="J317" s="57"/>
      <c r="K317" s="54" t="str">
        <f>IF(H317="","",MID(VLOOKUP(H317,Codigo_Material!$A$2:$C$6426,3,0),1,25))</f>
        <v/>
      </c>
      <c r="L317" s="19"/>
      <c r="M317" s="20"/>
      <c r="N317" s="1"/>
      <c r="O317" s="2"/>
      <c r="P317" s="58"/>
      <c r="Q317" s="58"/>
      <c r="R317" s="58"/>
      <c r="S317" s="55"/>
      <c r="T317" s="36"/>
    </row>
    <row r="318" spans="1:20" s="37" customFormat="1" x14ac:dyDescent="0.25">
      <c r="A318" s="33"/>
      <c r="B318" s="54" t="str">
        <f t="shared" si="20"/>
        <v>K4B6</v>
      </c>
      <c r="C318" s="56" t="str">
        <f t="shared" si="21"/>
        <v>OBRA</v>
      </c>
      <c r="D318" s="56"/>
      <c r="E318" s="54" t="str">
        <f t="shared" si="22"/>
        <v/>
      </c>
      <c r="F318" s="22" t="str">
        <f t="shared" si="23"/>
        <v/>
      </c>
      <c r="G318" s="22" t="str">
        <f t="shared" si="24"/>
        <v/>
      </c>
      <c r="H318" s="49"/>
      <c r="I318" s="57" t="str">
        <f>IF(H318="","",MID(VLOOKUP(H318,Codigo_Material!$A$2:$C$9999,2,0),1,30))</f>
        <v/>
      </c>
      <c r="J318" s="57"/>
      <c r="K318" s="54" t="str">
        <f>IF(H318="","",MID(VLOOKUP(H318,Codigo_Material!$A$2:$C$6426,3,0),1,25))</f>
        <v/>
      </c>
      <c r="L318" s="19"/>
      <c r="M318" s="20"/>
      <c r="N318" s="1"/>
      <c r="O318" s="2"/>
      <c r="P318" s="58"/>
      <c r="Q318" s="58"/>
      <c r="R318" s="58"/>
      <c r="S318" s="55"/>
      <c r="T318" s="36"/>
    </row>
    <row r="319" spans="1:20" s="37" customFormat="1" x14ac:dyDescent="0.25">
      <c r="A319" s="33"/>
      <c r="B319" s="54" t="str">
        <f t="shared" si="20"/>
        <v>K4B6</v>
      </c>
      <c r="C319" s="56" t="str">
        <f t="shared" si="21"/>
        <v>OBRA</v>
      </c>
      <c r="D319" s="56"/>
      <c r="E319" s="54" t="str">
        <f t="shared" si="22"/>
        <v/>
      </c>
      <c r="F319" s="22" t="str">
        <f t="shared" si="23"/>
        <v/>
      </c>
      <c r="G319" s="22" t="str">
        <f t="shared" si="24"/>
        <v/>
      </c>
      <c r="H319" s="49"/>
      <c r="I319" s="57" t="str">
        <f>IF(H319="","",MID(VLOOKUP(H319,Codigo_Material!$A$2:$C$9999,2,0),1,30))</f>
        <v/>
      </c>
      <c r="J319" s="57"/>
      <c r="K319" s="54" t="str">
        <f>IF(H319="","",MID(VLOOKUP(H319,Codigo_Material!$A$2:$C$6426,3,0),1,25))</f>
        <v/>
      </c>
      <c r="L319" s="19"/>
      <c r="M319" s="20"/>
      <c r="N319" s="1"/>
      <c r="O319" s="2"/>
      <c r="P319" s="58"/>
      <c r="Q319" s="58"/>
      <c r="R319" s="58"/>
      <c r="S319" s="55"/>
      <c r="T319" s="36"/>
    </row>
    <row r="320" spans="1:20" s="37" customFormat="1" x14ac:dyDescent="0.25">
      <c r="A320" s="33"/>
      <c r="B320" s="54" t="str">
        <f t="shared" si="20"/>
        <v>K4B6</v>
      </c>
      <c r="C320" s="56" t="str">
        <f t="shared" si="21"/>
        <v>OBRA</v>
      </c>
      <c r="D320" s="56"/>
      <c r="E320" s="54" t="str">
        <f t="shared" si="22"/>
        <v/>
      </c>
      <c r="F320" s="22" t="str">
        <f t="shared" si="23"/>
        <v/>
      </c>
      <c r="G320" s="22" t="str">
        <f t="shared" si="24"/>
        <v/>
      </c>
      <c r="H320" s="49"/>
      <c r="I320" s="57" t="str">
        <f>IF(H320="","",MID(VLOOKUP(H320,Codigo_Material!$A$2:$C$9999,2,0),1,30))</f>
        <v/>
      </c>
      <c r="J320" s="57"/>
      <c r="K320" s="54" t="str">
        <f>IF(H320="","",MID(VLOOKUP(H320,Codigo_Material!$A$2:$C$6426,3,0),1,25))</f>
        <v/>
      </c>
      <c r="L320" s="19"/>
      <c r="M320" s="20"/>
      <c r="N320" s="1"/>
      <c r="O320" s="2"/>
      <c r="P320" s="58"/>
      <c r="Q320" s="58"/>
      <c r="R320" s="58"/>
      <c r="S320" s="55"/>
      <c r="T320" s="36"/>
    </row>
    <row r="321" spans="1:20" s="37" customFormat="1" x14ac:dyDescent="0.25">
      <c r="A321" s="33"/>
      <c r="B321" s="54" t="str">
        <f t="shared" si="20"/>
        <v>K4B6</v>
      </c>
      <c r="C321" s="56" t="str">
        <f t="shared" si="21"/>
        <v>OBRA</v>
      </c>
      <c r="D321" s="56"/>
      <c r="E321" s="54" t="str">
        <f t="shared" si="22"/>
        <v/>
      </c>
      <c r="F321" s="22" t="str">
        <f t="shared" si="23"/>
        <v/>
      </c>
      <c r="G321" s="22" t="str">
        <f t="shared" si="24"/>
        <v/>
      </c>
      <c r="H321" s="49"/>
      <c r="I321" s="57" t="str">
        <f>IF(H321="","",MID(VLOOKUP(H321,Codigo_Material!$A$2:$C$9999,2,0),1,30))</f>
        <v/>
      </c>
      <c r="J321" s="57"/>
      <c r="K321" s="54" t="str">
        <f>IF(H321="","",MID(VLOOKUP(H321,Codigo_Material!$A$2:$C$6426,3,0),1,25))</f>
        <v/>
      </c>
      <c r="L321" s="19"/>
      <c r="M321" s="20"/>
      <c r="N321" s="1"/>
      <c r="O321" s="2"/>
      <c r="P321" s="58"/>
      <c r="Q321" s="58"/>
      <c r="R321" s="58"/>
      <c r="S321" s="55"/>
      <c r="T321" s="36"/>
    </row>
    <row r="322" spans="1:20" s="37" customFormat="1" x14ac:dyDescent="0.25">
      <c r="A322" s="33"/>
      <c r="B322" s="54" t="str">
        <f t="shared" si="20"/>
        <v>K4B6</v>
      </c>
      <c r="C322" s="56" t="str">
        <f t="shared" si="21"/>
        <v>OBRA</v>
      </c>
      <c r="D322" s="56"/>
      <c r="E322" s="54" t="str">
        <f t="shared" si="22"/>
        <v/>
      </c>
      <c r="F322" s="22" t="str">
        <f t="shared" si="23"/>
        <v/>
      </c>
      <c r="G322" s="22" t="str">
        <f t="shared" si="24"/>
        <v/>
      </c>
      <c r="H322" s="49"/>
      <c r="I322" s="57" t="str">
        <f>IF(H322="","",MID(VLOOKUP(H322,Codigo_Material!$A$2:$C$9999,2,0),1,30))</f>
        <v/>
      </c>
      <c r="J322" s="57"/>
      <c r="K322" s="54" t="str">
        <f>IF(H322="","",MID(VLOOKUP(H322,Codigo_Material!$A$2:$C$6426,3,0),1,25))</f>
        <v/>
      </c>
      <c r="L322" s="19"/>
      <c r="M322" s="20"/>
      <c r="N322" s="1"/>
      <c r="O322" s="2"/>
      <c r="P322" s="58"/>
      <c r="Q322" s="58"/>
      <c r="R322" s="58"/>
      <c r="S322" s="55"/>
      <c r="T322" s="36"/>
    </row>
    <row r="323" spans="1:20" s="37" customFormat="1" x14ac:dyDescent="0.25">
      <c r="A323" s="33"/>
      <c r="B323" s="54" t="str">
        <f t="shared" si="20"/>
        <v>K4B6</v>
      </c>
      <c r="C323" s="56" t="str">
        <f t="shared" si="21"/>
        <v>OBRA</v>
      </c>
      <c r="D323" s="56"/>
      <c r="E323" s="54" t="str">
        <f t="shared" si="22"/>
        <v/>
      </c>
      <c r="F323" s="22" t="str">
        <f t="shared" si="23"/>
        <v/>
      </c>
      <c r="G323" s="22" t="str">
        <f t="shared" si="24"/>
        <v/>
      </c>
      <c r="H323" s="49"/>
      <c r="I323" s="57" t="str">
        <f>IF(H323="","",MID(VLOOKUP(H323,Codigo_Material!$A$2:$C$9999,2,0),1,30))</f>
        <v/>
      </c>
      <c r="J323" s="57"/>
      <c r="K323" s="54" t="str">
        <f>IF(H323="","",MID(VLOOKUP(H323,Codigo_Material!$A$2:$C$6426,3,0),1,25))</f>
        <v/>
      </c>
      <c r="L323" s="19"/>
      <c r="M323" s="20"/>
      <c r="N323" s="1"/>
      <c r="O323" s="2"/>
      <c r="P323" s="58"/>
      <c r="Q323" s="58"/>
      <c r="R323" s="58"/>
      <c r="S323" s="55"/>
      <c r="T323" s="36"/>
    </row>
    <row r="324" spans="1:20" s="37" customFormat="1" x14ac:dyDescent="0.25">
      <c r="A324" s="33"/>
      <c r="B324" s="54" t="str">
        <f t="shared" si="20"/>
        <v>K4B6</v>
      </c>
      <c r="C324" s="56" t="str">
        <f t="shared" si="21"/>
        <v>OBRA</v>
      </c>
      <c r="D324" s="56"/>
      <c r="E324" s="54" t="str">
        <f t="shared" si="22"/>
        <v/>
      </c>
      <c r="F324" s="22" t="str">
        <f t="shared" si="23"/>
        <v/>
      </c>
      <c r="G324" s="22" t="str">
        <f t="shared" si="24"/>
        <v/>
      </c>
      <c r="H324" s="49"/>
      <c r="I324" s="57" t="str">
        <f>IF(H324="","",MID(VLOOKUP(H324,Codigo_Material!$A$2:$C$9999,2,0),1,30))</f>
        <v/>
      </c>
      <c r="J324" s="57"/>
      <c r="K324" s="54" t="str">
        <f>IF(H324="","",MID(VLOOKUP(H324,Codigo_Material!$A$2:$C$6426,3,0),1,25))</f>
        <v/>
      </c>
      <c r="L324" s="19"/>
      <c r="M324" s="20"/>
      <c r="N324" s="1"/>
      <c r="O324" s="2"/>
      <c r="P324" s="58"/>
      <c r="Q324" s="58"/>
      <c r="R324" s="58"/>
      <c r="S324" s="55"/>
      <c r="T324" s="36"/>
    </row>
    <row r="325" spans="1:20" s="37" customFormat="1" x14ac:dyDescent="0.25">
      <c r="A325" s="33"/>
      <c r="B325" s="54" t="str">
        <f t="shared" si="20"/>
        <v>K4B6</v>
      </c>
      <c r="C325" s="56" t="str">
        <f t="shared" si="21"/>
        <v>OBRA</v>
      </c>
      <c r="D325" s="56"/>
      <c r="E325" s="54" t="str">
        <f t="shared" si="22"/>
        <v/>
      </c>
      <c r="F325" s="22" t="str">
        <f t="shared" si="23"/>
        <v/>
      </c>
      <c r="G325" s="22" t="str">
        <f t="shared" si="24"/>
        <v/>
      </c>
      <c r="H325" s="49"/>
      <c r="I325" s="57" t="str">
        <f>IF(H325="","",MID(VLOOKUP(H325,Codigo_Material!$A$2:$C$9999,2,0),1,30))</f>
        <v/>
      </c>
      <c r="J325" s="57"/>
      <c r="K325" s="54" t="str">
        <f>IF(H325="","",MID(VLOOKUP(H325,Codigo_Material!$A$2:$C$6426,3,0),1,25))</f>
        <v/>
      </c>
      <c r="L325" s="19"/>
      <c r="M325" s="20"/>
      <c r="N325" s="1"/>
      <c r="O325" s="2"/>
      <c r="P325" s="58"/>
      <c r="Q325" s="58"/>
      <c r="R325" s="58"/>
      <c r="S325" s="55"/>
      <c r="T325" s="36"/>
    </row>
    <row r="326" spans="1:20" s="37" customFormat="1" x14ac:dyDescent="0.25">
      <c r="A326" s="33"/>
      <c r="B326" s="54" t="str">
        <f t="shared" si="20"/>
        <v>K4B6</v>
      </c>
      <c r="C326" s="56" t="str">
        <f t="shared" si="21"/>
        <v>OBRA</v>
      </c>
      <c r="D326" s="56"/>
      <c r="E326" s="54" t="str">
        <f t="shared" si="22"/>
        <v/>
      </c>
      <c r="F326" s="22" t="str">
        <f t="shared" si="23"/>
        <v/>
      </c>
      <c r="G326" s="22" t="str">
        <f t="shared" si="24"/>
        <v/>
      </c>
      <c r="H326" s="49"/>
      <c r="I326" s="57" t="str">
        <f>IF(H326="","",MID(VLOOKUP(H326,Codigo_Material!$A$2:$C$9999,2,0),1,30))</f>
        <v/>
      </c>
      <c r="J326" s="57"/>
      <c r="K326" s="54" t="str">
        <f>IF(H326="","",MID(VLOOKUP(H326,Codigo_Material!$A$2:$C$6426,3,0),1,25))</f>
        <v/>
      </c>
      <c r="L326" s="19"/>
      <c r="M326" s="20"/>
      <c r="N326" s="1"/>
      <c r="O326" s="2"/>
      <c r="P326" s="58"/>
      <c r="Q326" s="58"/>
      <c r="R326" s="58"/>
      <c r="S326" s="55"/>
      <c r="T326" s="36"/>
    </row>
    <row r="327" spans="1:20" s="37" customFormat="1" x14ac:dyDescent="0.25">
      <c r="A327" s="33"/>
      <c r="B327" s="54" t="str">
        <f t="shared" si="20"/>
        <v>K4B6</v>
      </c>
      <c r="C327" s="56" t="str">
        <f t="shared" si="21"/>
        <v>OBRA</v>
      </c>
      <c r="D327" s="56"/>
      <c r="E327" s="54" t="str">
        <f t="shared" si="22"/>
        <v/>
      </c>
      <c r="F327" s="22" t="str">
        <f t="shared" si="23"/>
        <v/>
      </c>
      <c r="G327" s="22" t="str">
        <f t="shared" si="24"/>
        <v/>
      </c>
      <c r="H327" s="49"/>
      <c r="I327" s="57" t="str">
        <f>IF(H327="","",MID(VLOOKUP(H327,Codigo_Material!$A$2:$C$9999,2,0),1,30))</f>
        <v/>
      </c>
      <c r="J327" s="57"/>
      <c r="K327" s="54" t="str">
        <f>IF(H327="","",MID(VLOOKUP(H327,Codigo_Material!$A$2:$C$6426,3,0),1,25))</f>
        <v/>
      </c>
      <c r="L327" s="19"/>
      <c r="M327" s="20"/>
      <c r="N327" s="1"/>
      <c r="O327" s="2"/>
      <c r="P327" s="58"/>
      <c r="Q327" s="58"/>
      <c r="R327" s="58"/>
      <c r="S327" s="55"/>
      <c r="T327" s="36"/>
    </row>
    <row r="328" spans="1:20" s="37" customFormat="1" x14ac:dyDescent="0.25">
      <c r="A328" s="33"/>
      <c r="B328" s="54" t="str">
        <f t="shared" si="20"/>
        <v>K4B6</v>
      </c>
      <c r="C328" s="56" t="str">
        <f t="shared" si="21"/>
        <v>OBRA</v>
      </c>
      <c r="D328" s="56"/>
      <c r="E328" s="54" t="str">
        <f t="shared" si="22"/>
        <v/>
      </c>
      <c r="F328" s="22" t="str">
        <f t="shared" si="23"/>
        <v/>
      </c>
      <c r="G328" s="22" t="str">
        <f t="shared" si="24"/>
        <v/>
      </c>
      <c r="H328" s="49"/>
      <c r="I328" s="57" t="str">
        <f>IF(H328="","",MID(VLOOKUP(H328,Codigo_Material!$A$2:$C$9999,2,0),1,30))</f>
        <v/>
      </c>
      <c r="J328" s="57"/>
      <c r="K328" s="54" t="str">
        <f>IF(H328="","",MID(VLOOKUP(H328,Codigo_Material!$A$2:$C$6426,3,0),1,25))</f>
        <v/>
      </c>
      <c r="L328" s="19"/>
      <c r="M328" s="20"/>
      <c r="N328" s="1"/>
      <c r="O328" s="2"/>
      <c r="P328" s="58"/>
      <c r="Q328" s="58"/>
      <c r="R328" s="58"/>
      <c r="S328" s="55"/>
      <c r="T328" s="36"/>
    </row>
    <row r="329" spans="1:20" s="37" customFormat="1" x14ac:dyDescent="0.25">
      <c r="A329" s="33"/>
      <c r="B329" s="54" t="str">
        <f t="shared" si="20"/>
        <v>K4B6</v>
      </c>
      <c r="C329" s="56" t="str">
        <f t="shared" si="21"/>
        <v>OBRA</v>
      </c>
      <c r="D329" s="56"/>
      <c r="E329" s="54" t="str">
        <f t="shared" si="22"/>
        <v/>
      </c>
      <c r="F329" s="22" t="str">
        <f t="shared" si="23"/>
        <v/>
      </c>
      <c r="G329" s="22" t="str">
        <f t="shared" si="24"/>
        <v/>
      </c>
      <c r="H329" s="49"/>
      <c r="I329" s="57" t="str">
        <f>IF(H329="","",MID(VLOOKUP(H329,Codigo_Material!$A$2:$C$9999,2,0),1,30))</f>
        <v/>
      </c>
      <c r="J329" s="57"/>
      <c r="K329" s="54" t="str">
        <f>IF(H329="","",MID(VLOOKUP(H329,Codigo_Material!$A$2:$C$6426,3,0),1,25))</f>
        <v/>
      </c>
      <c r="L329" s="19"/>
      <c r="M329" s="20"/>
      <c r="N329" s="1"/>
      <c r="O329" s="2"/>
      <c r="P329" s="58"/>
      <c r="Q329" s="58"/>
      <c r="R329" s="58"/>
      <c r="S329" s="55"/>
      <c r="T329" s="36"/>
    </row>
    <row r="330" spans="1:20" s="37" customFormat="1" x14ac:dyDescent="0.25">
      <c r="A330" s="33"/>
      <c r="B330" s="54" t="str">
        <f t="shared" si="20"/>
        <v>K4B6</v>
      </c>
      <c r="C330" s="56" t="str">
        <f t="shared" si="21"/>
        <v>OBRA</v>
      </c>
      <c r="D330" s="56"/>
      <c r="E330" s="54" t="str">
        <f t="shared" si="22"/>
        <v/>
      </c>
      <c r="F330" s="22" t="str">
        <f t="shared" si="23"/>
        <v/>
      </c>
      <c r="G330" s="22" t="str">
        <f t="shared" si="24"/>
        <v/>
      </c>
      <c r="H330" s="49"/>
      <c r="I330" s="57" t="str">
        <f>IF(H330="","",MID(VLOOKUP(H330,Codigo_Material!$A$2:$C$9999,2,0),1,30))</f>
        <v/>
      </c>
      <c r="J330" s="57"/>
      <c r="K330" s="54" t="str">
        <f>IF(H330="","",MID(VLOOKUP(H330,Codigo_Material!$A$2:$C$6426,3,0),1,25))</f>
        <v/>
      </c>
      <c r="L330" s="19"/>
      <c r="M330" s="20"/>
      <c r="N330" s="1"/>
      <c r="O330" s="2"/>
      <c r="P330" s="58"/>
      <c r="Q330" s="58"/>
      <c r="R330" s="58"/>
      <c r="S330" s="55"/>
      <c r="T330" s="36"/>
    </row>
    <row r="331" spans="1:20" s="37" customFormat="1" x14ac:dyDescent="0.25">
      <c r="A331" s="33"/>
      <c r="B331" s="54" t="str">
        <f t="shared" ref="B331:B394" si="25">IF($D$5="","",$D$5)</f>
        <v>K4B6</v>
      </c>
      <c r="C331" s="56" t="str">
        <f t="shared" ref="C331:C394" si="26">IF($F$5="","",$F$5)</f>
        <v>OBRA</v>
      </c>
      <c r="D331" s="56"/>
      <c r="E331" s="54" t="str">
        <f t="shared" ref="E331:E394" si="27">IF($H$5="","",$H$5)</f>
        <v/>
      </c>
      <c r="F331" s="22" t="str">
        <f t="shared" ref="F331:F394" si="28">IF($P$7="","",$P$7)</f>
        <v/>
      </c>
      <c r="G331" s="22" t="str">
        <f t="shared" ref="G331:G394" si="29">IF($K$7="","",$K$7)</f>
        <v/>
      </c>
      <c r="H331" s="49"/>
      <c r="I331" s="57" t="str">
        <f>IF(H331="","",MID(VLOOKUP(H331,Codigo_Material!$A$2:$C$9999,2,0),1,30))</f>
        <v/>
      </c>
      <c r="J331" s="57"/>
      <c r="K331" s="54" t="str">
        <f>IF(H331="","",MID(VLOOKUP(H331,Codigo_Material!$A$2:$C$6426,3,0),1,25))</f>
        <v/>
      </c>
      <c r="L331" s="19"/>
      <c r="M331" s="20"/>
      <c r="N331" s="1"/>
      <c r="O331" s="2"/>
      <c r="P331" s="58"/>
      <c r="Q331" s="58"/>
      <c r="R331" s="58"/>
      <c r="S331" s="55"/>
      <c r="T331" s="36"/>
    </row>
    <row r="332" spans="1:20" s="37" customFormat="1" x14ac:dyDescent="0.25">
      <c r="A332" s="33"/>
      <c r="B332" s="54" t="str">
        <f t="shared" si="25"/>
        <v>K4B6</v>
      </c>
      <c r="C332" s="56" t="str">
        <f t="shared" si="26"/>
        <v>OBRA</v>
      </c>
      <c r="D332" s="56"/>
      <c r="E332" s="54" t="str">
        <f t="shared" si="27"/>
        <v/>
      </c>
      <c r="F332" s="22" t="str">
        <f t="shared" si="28"/>
        <v/>
      </c>
      <c r="G332" s="22" t="str">
        <f t="shared" si="29"/>
        <v/>
      </c>
      <c r="H332" s="49"/>
      <c r="I332" s="57" t="str">
        <f>IF(H332="","",MID(VLOOKUP(H332,Codigo_Material!$A$2:$C$9999,2,0),1,30))</f>
        <v/>
      </c>
      <c r="J332" s="57"/>
      <c r="K332" s="54" t="str">
        <f>IF(H332="","",MID(VLOOKUP(H332,Codigo_Material!$A$2:$C$6426,3,0),1,25))</f>
        <v/>
      </c>
      <c r="L332" s="19"/>
      <c r="M332" s="20"/>
      <c r="N332" s="1"/>
      <c r="O332" s="2"/>
      <c r="P332" s="58"/>
      <c r="Q332" s="58"/>
      <c r="R332" s="58"/>
      <c r="S332" s="55"/>
      <c r="T332" s="36"/>
    </row>
    <row r="333" spans="1:20" s="37" customFormat="1" x14ac:dyDescent="0.25">
      <c r="A333" s="33"/>
      <c r="B333" s="54" t="str">
        <f t="shared" si="25"/>
        <v>K4B6</v>
      </c>
      <c r="C333" s="56" t="str">
        <f t="shared" si="26"/>
        <v>OBRA</v>
      </c>
      <c r="D333" s="56"/>
      <c r="E333" s="54" t="str">
        <f t="shared" si="27"/>
        <v/>
      </c>
      <c r="F333" s="22" t="str">
        <f t="shared" si="28"/>
        <v/>
      </c>
      <c r="G333" s="22" t="str">
        <f t="shared" si="29"/>
        <v/>
      </c>
      <c r="H333" s="49"/>
      <c r="I333" s="57" t="str">
        <f>IF(H333="","",MID(VLOOKUP(H333,Codigo_Material!$A$2:$C$9999,2,0),1,30))</f>
        <v/>
      </c>
      <c r="J333" s="57"/>
      <c r="K333" s="54" t="str">
        <f>IF(H333="","",MID(VLOOKUP(H333,Codigo_Material!$A$2:$C$6426,3,0),1,25))</f>
        <v/>
      </c>
      <c r="L333" s="19"/>
      <c r="M333" s="20"/>
      <c r="N333" s="1"/>
      <c r="O333" s="2"/>
      <c r="P333" s="58"/>
      <c r="Q333" s="58"/>
      <c r="R333" s="58"/>
      <c r="S333" s="55"/>
      <c r="T333" s="36"/>
    </row>
    <row r="334" spans="1:20" s="37" customFormat="1" x14ac:dyDescent="0.25">
      <c r="A334" s="33"/>
      <c r="B334" s="54" t="str">
        <f t="shared" si="25"/>
        <v>K4B6</v>
      </c>
      <c r="C334" s="56" t="str">
        <f t="shared" si="26"/>
        <v>OBRA</v>
      </c>
      <c r="D334" s="56"/>
      <c r="E334" s="54" t="str">
        <f t="shared" si="27"/>
        <v/>
      </c>
      <c r="F334" s="22" t="str">
        <f t="shared" si="28"/>
        <v/>
      </c>
      <c r="G334" s="22" t="str">
        <f t="shared" si="29"/>
        <v/>
      </c>
      <c r="H334" s="49"/>
      <c r="I334" s="57" t="str">
        <f>IF(H334="","",MID(VLOOKUP(H334,Codigo_Material!$A$2:$C$9999,2,0),1,30))</f>
        <v/>
      </c>
      <c r="J334" s="57"/>
      <c r="K334" s="54" t="str">
        <f>IF(H334="","",MID(VLOOKUP(H334,Codigo_Material!$A$2:$C$6426,3,0),1,25))</f>
        <v/>
      </c>
      <c r="L334" s="19"/>
      <c r="M334" s="20"/>
      <c r="N334" s="1"/>
      <c r="O334" s="2"/>
      <c r="P334" s="58"/>
      <c r="Q334" s="58"/>
      <c r="R334" s="58"/>
      <c r="S334" s="55"/>
      <c r="T334" s="36"/>
    </row>
    <row r="335" spans="1:20" s="37" customFormat="1" x14ac:dyDescent="0.25">
      <c r="A335" s="33"/>
      <c r="B335" s="54" t="str">
        <f t="shared" si="25"/>
        <v>K4B6</v>
      </c>
      <c r="C335" s="56" t="str">
        <f t="shared" si="26"/>
        <v>OBRA</v>
      </c>
      <c r="D335" s="56"/>
      <c r="E335" s="54" t="str">
        <f t="shared" si="27"/>
        <v/>
      </c>
      <c r="F335" s="22" t="str">
        <f t="shared" si="28"/>
        <v/>
      </c>
      <c r="G335" s="22" t="str">
        <f t="shared" si="29"/>
        <v/>
      </c>
      <c r="H335" s="49"/>
      <c r="I335" s="57" t="str">
        <f>IF(H335="","",MID(VLOOKUP(H335,Codigo_Material!$A$2:$C$9999,2,0),1,30))</f>
        <v/>
      </c>
      <c r="J335" s="57"/>
      <c r="K335" s="54" t="str">
        <f>IF(H335="","",MID(VLOOKUP(H335,Codigo_Material!$A$2:$C$6426,3,0),1,25))</f>
        <v/>
      </c>
      <c r="L335" s="19"/>
      <c r="M335" s="20"/>
      <c r="N335" s="1"/>
      <c r="O335" s="2"/>
      <c r="P335" s="58"/>
      <c r="Q335" s="58"/>
      <c r="R335" s="58"/>
      <c r="S335" s="55"/>
      <c r="T335" s="36"/>
    </row>
    <row r="336" spans="1:20" s="37" customFormat="1" x14ac:dyDescent="0.25">
      <c r="A336" s="33"/>
      <c r="B336" s="54" t="str">
        <f t="shared" si="25"/>
        <v>K4B6</v>
      </c>
      <c r="C336" s="56" t="str">
        <f t="shared" si="26"/>
        <v>OBRA</v>
      </c>
      <c r="D336" s="56"/>
      <c r="E336" s="54" t="str">
        <f t="shared" si="27"/>
        <v/>
      </c>
      <c r="F336" s="22" t="str">
        <f t="shared" si="28"/>
        <v/>
      </c>
      <c r="G336" s="22" t="str">
        <f t="shared" si="29"/>
        <v/>
      </c>
      <c r="H336" s="49"/>
      <c r="I336" s="57" t="str">
        <f>IF(H336="","",MID(VLOOKUP(H336,Codigo_Material!$A$2:$C$9999,2,0),1,30))</f>
        <v/>
      </c>
      <c r="J336" s="57"/>
      <c r="K336" s="54" t="str">
        <f>IF(H336="","",MID(VLOOKUP(H336,Codigo_Material!$A$2:$C$6426,3,0),1,25))</f>
        <v/>
      </c>
      <c r="L336" s="19"/>
      <c r="M336" s="20"/>
      <c r="N336" s="1"/>
      <c r="O336" s="2"/>
      <c r="P336" s="58"/>
      <c r="Q336" s="58"/>
      <c r="R336" s="58"/>
      <c r="S336" s="55"/>
      <c r="T336" s="36"/>
    </row>
    <row r="337" spans="1:20" s="37" customFormat="1" x14ac:dyDescent="0.25">
      <c r="A337" s="33"/>
      <c r="B337" s="54" t="str">
        <f t="shared" si="25"/>
        <v>K4B6</v>
      </c>
      <c r="C337" s="56" t="str">
        <f t="shared" si="26"/>
        <v>OBRA</v>
      </c>
      <c r="D337" s="56"/>
      <c r="E337" s="54" t="str">
        <f t="shared" si="27"/>
        <v/>
      </c>
      <c r="F337" s="22" t="str">
        <f t="shared" si="28"/>
        <v/>
      </c>
      <c r="G337" s="22" t="str">
        <f t="shared" si="29"/>
        <v/>
      </c>
      <c r="H337" s="49"/>
      <c r="I337" s="57" t="str">
        <f>IF(H337="","",MID(VLOOKUP(H337,Codigo_Material!$A$2:$C$9999,2,0),1,30))</f>
        <v/>
      </c>
      <c r="J337" s="57"/>
      <c r="K337" s="54" t="str">
        <f>IF(H337="","",MID(VLOOKUP(H337,Codigo_Material!$A$2:$C$6426,3,0),1,25))</f>
        <v/>
      </c>
      <c r="L337" s="19"/>
      <c r="M337" s="20"/>
      <c r="N337" s="1"/>
      <c r="O337" s="2"/>
      <c r="P337" s="58"/>
      <c r="Q337" s="58"/>
      <c r="R337" s="58"/>
      <c r="S337" s="55"/>
      <c r="T337" s="36"/>
    </row>
    <row r="338" spans="1:20" s="37" customFormat="1" x14ac:dyDescent="0.25">
      <c r="A338" s="33"/>
      <c r="B338" s="54" t="str">
        <f t="shared" si="25"/>
        <v>K4B6</v>
      </c>
      <c r="C338" s="56" t="str">
        <f t="shared" si="26"/>
        <v>OBRA</v>
      </c>
      <c r="D338" s="56"/>
      <c r="E338" s="54" t="str">
        <f t="shared" si="27"/>
        <v/>
      </c>
      <c r="F338" s="22" t="str">
        <f t="shared" si="28"/>
        <v/>
      </c>
      <c r="G338" s="22" t="str">
        <f t="shared" si="29"/>
        <v/>
      </c>
      <c r="H338" s="49"/>
      <c r="I338" s="57" t="str">
        <f>IF(H338="","",MID(VLOOKUP(H338,Codigo_Material!$A$2:$C$9999,2,0),1,30))</f>
        <v/>
      </c>
      <c r="J338" s="57"/>
      <c r="K338" s="54" t="str">
        <f>IF(H338="","",MID(VLOOKUP(H338,Codigo_Material!$A$2:$C$6426,3,0),1,25))</f>
        <v/>
      </c>
      <c r="L338" s="19"/>
      <c r="M338" s="20"/>
      <c r="N338" s="1"/>
      <c r="O338" s="2"/>
      <c r="P338" s="58"/>
      <c r="Q338" s="58"/>
      <c r="R338" s="58"/>
      <c r="S338" s="55"/>
      <c r="T338" s="36"/>
    </row>
    <row r="339" spans="1:20" s="37" customFormat="1" x14ac:dyDescent="0.25">
      <c r="A339" s="33"/>
      <c r="B339" s="54" t="str">
        <f t="shared" si="25"/>
        <v>K4B6</v>
      </c>
      <c r="C339" s="56" t="str">
        <f t="shared" si="26"/>
        <v>OBRA</v>
      </c>
      <c r="D339" s="56"/>
      <c r="E339" s="54" t="str">
        <f t="shared" si="27"/>
        <v/>
      </c>
      <c r="F339" s="22" t="str">
        <f t="shared" si="28"/>
        <v/>
      </c>
      <c r="G339" s="22" t="str">
        <f t="shared" si="29"/>
        <v/>
      </c>
      <c r="H339" s="49"/>
      <c r="I339" s="57" t="str">
        <f>IF(H339="","",MID(VLOOKUP(H339,Codigo_Material!$A$2:$C$9999,2,0),1,30))</f>
        <v/>
      </c>
      <c r="J339" s="57"/>
      <c r="K339" s="54" t="str">
        <f>IF(H339="","",MID(VLOOKUP(H339,Codigo_Material!$A$2:$C$6426,3,0),1,25))</f>
        <v/>
      </c>
      <c r="L339" s="19"/>
      <c r="M339" s="20"/>
      <c r="N339" s="1"/>
      <c r="O339" s="2"/>
      <c r="P339" s="58"/>
      <c r="Q339" s="58"/>
      <c r="R339" s="58"/>
      <c r="S339" s="55"/>
      <c r="T339" s="36"/>
    </row>
    <row r="340" spans="1:20" s="37" customFormat="1" x14ac:dyDescent="0.25">
      <c r="A340" s="33"/>
      <c r="B340" s="54" t="str">
        <f t="shared" si="25"/>
        <v>K4B6</v>
      </c>
      <c r="C340" s="56" t="str">
        <f t="shared" si="26"/>
        <v>OBRA</v>
      </c>
      <c r="D340" s="56"/>
      <c r="E340" s="54" t="str">
        <f t="shared" si="27"/>
        <v/>
      </c>
      <c r="F340" s="22" t="str">
        <f t="shared" si="28"/>
        <v/>
      </c>
      <c r="G340" s="22" t="str">
        <f t="shared" si="29"/>
        <v/>
      </c>
      <c r="H340" s="49"/>
      <c r="I340" s="57" t="str">
        <f>IF(H340="","",MID(VLOOKUP(H340,Codigo_Material!$A$2:$C$9999,2,0),1,30))</f>
        <v/>
      </c>
      <c r="J340" s="57"/>
      <c r="K340" s="54" t="str">
        <f>IF(H340="","",MID(VLOOKUP(H340,Codigo_Material!$A$2:$C$6426,3,0),1,25))</f>
        <v/>
      </c>
      <c r="L340" s="19"/>
      <c r="M340" s="20"/>
      <c r="N340" s="1"/>
      <c r="O340" s="2"/>
      <c r="P340" s="58"/>
      <c r="Q340" s="58"/>
      <c r="R340" s="58"/>
      <c r="S340" s="55"/>
      <c r="T340" s="36"/>
    </row>
    <row r="341" spans="1:20" s="37" customFormat="1" x14ac:dyDescent="0.25">
      <c r="A341" s="33"/>
      <c r="B341" s="54" t="str">
        <f t="shared" si="25"/>
        <v>K4B6</v>
      </c>
      <c r="C341" s="56" t="str">
        <f t="shared" si="26"/>
        <v>OBRA</v>
      </c>
      <c r="D341" s="56"/>
      <c r="E341" s="54" t="str">
        <f t="shared" si="27"/>
        <v/>
      </c>
      <c r="F341" s="22" t="str">
        <f t="shared" si="28"/>
        <v/>
      </c>
      <c r="G341" s="22" t="str">
        <f t="shared" si="29"/>
        <v/>
      </c>
      <c r="H341" s="49"/>
      <c r="I341" s="57" t="str">
        <f>IF(H341="","",MID(VLOOKUP(H341,Codigo_Material!$A$2:$C$9999,2,0),1,30))</f>
        <v/>
      </c>
      <c r="J341" s="57"/>
      <c r="K341" s="54" t="str">
        <f>IF(H341="","",MID(VLOOKUP(H341,Codigo_Material!$A$2:$C$6426,3,0),1,25))</f>
        <v/>
      </c>
      <c r="L341" s="19"/>
      <c r="M341" s="20"/>
      <c r="N341" s="1"/>
      <c r="O341" s="2"/>
      <c r="P341" s="58"/>
      <c r="Q341" s="58"/>
      <c r="R341" s="58"/>
      <c r="S341" s="55"/>
      <c r="T341" s="36"/>
    </row>
    <row r="342" spans="1:20" s="37" customFormat="1" x14ac:dyDescent="0.25">
      <c r="A342" s="33"/>
      <c r="B342" s="54" t="str">
        <f t="shared" si="25"/>
        <v>K4B6</v>
      </c>
      <c r="C342" s="56" t="str">
        <f t="shared" si="26"/>
        <v>OBRA</v>
      </c>
      <c r="D342" s="56"/>
      <c r="E342" s="54" t="str">
        <f t="shared" si="27"/>
        <v/>
      </c>
      <c r="F342" s="22" t="str">
        <f t="shared" si="28"/>
        <v/>
      </c>
      <c r="G342" s="22" t="str">
        <f t="shared" si="29"/>
        <v/>
      </c>
      <c r="H342" s="49"/>
      <c r="I342" s="57" t="str">
        <f>IF(H342="","",MID(VLOOKUP(H342,Codigo_Material!$A$2:$C$9999,2,0),1,30))</f>
        <v/>
      </c>
      <c r="J342" s="57"/>
      <c r="K342" s="54" t="str">
        <f>IF(H342="","",MID(VLOOKUP(H342,Codigo_Material!$A$2:$C$6426,3,0),1,25))</f>
        <v/>
      </c>
      <c r="L342" s="19"/>
      <c r="M342" s="20"/>
      <c r="N342" s="1"/>
      <c r="O342" s="2"/>
      <c r="P342" s="58"/>
      <c r="Q342" s="58"/>
      <c r="R342" s="58"/>
      <c r="S342" s="55"/>
      <c r="T342" s="36"/>
    </row>
    <row r="343" spans="1:20" s="37" customFormat="1" x14ac:dyDescent="0.25">
      <c r="A343" s="33"/>
      <c r="B343" s="54" t="str">
        <f t="shared" si="25"/>
        <v>K4B6</v>
      </c>
      <c r="C343" s="56" t="str">
        <f t="shared" si="26"/>
        <v>OBRA</v>
      </c>
      <c r="D343" s="56"/>
      <c r="E343" s="54" t="str">
        <f t="shared" si="27"/>
        <v/>
      </c>
      <c r="F343" s="22" t="str">
        <f t="shared" si="28"/>
        <v/>
      </c>
      <c r="G343" s="22" t="str">
        <f t="shared" si="29"/>
        <v/>
      </c>
      <c r="H343" s="49"/>
      <c r="I343" s="57" t="str">
        <f>IF(H343="","",MID(VLOOKUP(H343,Codigo_Material!$A$2:$C$9999,2,0),1,30))</f>
        <v/>
      </c>
      <c r="J343" s="57"/>
      <c r="K343" s="54" t="str">
        <f>IF(H343="","",MID(VLOOKUP(H343,Codigo_Material!$A$2:$C$6426,3,0),1,25))</f>
        <v/>
      </c>
      <c r="L343" s="19"/>
      <c r="M343" s="20"/>
      <c r="N343" s="1"/>
      <c r="O343" s="2"/>
      <c r="P343" s="58"/>
      <c r="Q343" s="58"/>
      <c r="R343" s="58"/>
      <c r="S343" s="55"/>
      <c r="T343" s="36"/>
    </row>
    <row r="344" spans="1:20" s="37" customFormat="1" x14ac:dyDescent="0.25">
      <c r="A344" s="33"/>
      <c r="B344" s="54" t="str">
        <f t="shared" si="25"/>
        <v>K4B6</v>
      </c>
      <c r="C344" s="56" t="str">
        <f t="shared" si="26"/>
        <v>OBRA</v>
      </c>
      <c r="D344" s="56"/>
      <c r="E344" s="54" t="str">
        <f t="shared" si="27"/>
        <v/>
      </c>
      <c r="F344" s="22" t="str">
        <f t="shared" si="28"/>
        <v/>
      </c>
      <c r="G344" s="22" t="str">
        <f t="shared" si="29"/>
        <v/>
      </c>
      <c r="H344" s="49"/>
      <c r="I344" s="57" t="str">
        <f>IF(H344="","",MID(VLOOKUP(H344,Codigo_Material!$A$2:$C$9999,2,0),1,30))</f>
        <v/>
      </c>
      <c r="J344" s="57"/>
      <c r="K344" s="54" t="str">
        <f>IF(H344="","",MID(VLOOKUP(H344,Codigo_Material!$A$2:$C$6426,3,0),1,25))</f>
        <v/>
      </c>
      <c r="L344" s="19"/>
      <c r="M344" s="20"/>
      <c r="N344" s="1"/>
      <c r="O344" s="2"/>
      <c r="P344" s="58"/>
      <c r="Q344" s="58"/>
      <c r="R344" s="58"/>
      <c r="S344" s="55"/>
      <c r="T344" s="36"/>
    </row>
    <row r="345" spans="1:20" s="37" customFormat="1" x14ac:dyDescent="0.25">
      <c r="A345" s="33"/>
      <c r="B345" s="54" t="str">
        <f t="shared" si="25"/>
        <v>K4B6</v>
      </c>
      <c r="C345" s="56" t="str">
        <f t="shared" si="26"/>
        <v>OBRA</v>
      </c>
      <c r="D345" s="56"/>
      <c r="E345" s="54" t="str">
        <f t="shared" si="27"/>
        <v/>
      </c>
      <c r="F345" s="22" t="str">
        <f t="shared" si="28"/>
        <v/>
      </c>
      <c r="G345" s="22" t="str">
        <f t="shared" si="29"/>
        <v/>
      </c>
      <c r="H345" s="49"/>
      <c r="I345" s="57" t="str">
        <f>IF(H345="","",MID(VLOOKUP(H345,Codigo_Material!$A$2:$C$9999,2,0),1,30))</f>
        <v/>
      </c>
      <c r="J345" s="57"/>
      <c r="K345" s="54" t="str">
        <f>IF(H345="","",MID(VLOOKUP(H345,Codigo_Material!$A$2:$C$6426,3,0),1,25))</f>
        <v/>
      </c>
      <c r="L345" s="19"/>
      <c r="M345" s="20"/>
      <c r="N345" s="1"/>
      <c r="O345" s="2"/>
      <c r="P345" s="58"/>
      <c r="Q345" s="58"/>
      <c r="R345" s="58"/>
      <c r="S345" s="55"/>
      <c r="T345" s="36"/>
    </row>
    <row r="346" spans="1:20" s="37" customFormat="1" x14ac:dyDescent="0.25">
      <c r="A346" s="33"/>
      <c r="B346" s="54" t="str">
        <f t="shared" si="25"/>
        <v>K4B6</v>
      </c>
      <c r="C346" s="56" t="str">
        <f t="shared" si="26"/>
        <v>OBRA</v>
      </c>
      <c r="D346" s="56"/>
      <c r="E346" s="54" t="str">
        <f t="shared" si="27"/>
        <v/>
      </c>
      <c r="F346" s="22" t="str">
        <f t="shared" si="28"/>
        <v/>
      </c>
      <c r="G346" s="22" t="str">
        <f t="shared" si="29"/>
        <v/>
      </c>
      <c r="H346" s="49"/>
      <c r="I346" s="57" t="str">
        <f>IF(H346="","",MID(VLOOKUP(H346,Codigo_Material!$A$2:$C$9999,2,0),1,30))</f>
        <v/>
      </c>
      <c r="J346" s="57"/>
      <c r="K346" s="54" t="str">
        <f>IF(H346="","",MID(VLOOKUP(H346,Codigo_Material!$A$2:$C$6426,3,0),1,25))</f>
        <v/>
      </c>
      <c r="L346" s="19"/>
      <c r="M346" s="20"/>
      <c r="N346" s="1"/>
      <c r="O346" s="2"/>
      <c r="P346" s="58"/>
      <c r="Q346" s="58"/>
      <c r="R346" s="58"/>
      <c r="S346" s="55"/>
      <c r="T346" s="36"/>
    </row>
    <row r="347" spans="1:20" s="37" customFormat="1" x14ac:dyDescent="0.25">
      <c r="A347" s="33"/>
      <c r="B347" s="54" t="str">
        <f t="shared" si="25"/>
        <v>K4B6</v>
      </c>
      <c r="C347" s="56" t="str">
        <f t="shared" si="26"/>
        <v>OBRA</v>
      </c>
      <c r="D347" s="56"/>
      <c r="E347" s="54" t="str">
        <f t="shared" si="27"/>
        <v/>
      </c>
      <c r="F347" s="22" t="str">
        <f t="shared" si="28"/>
        <v/>
      </c>
      <c r="G347" s="22" t="str">
        <f t="shared" si="29"/>
        <v/>
      </c>
      <c r="H347" s="49"/>
      <c r="I347" s="57" t="str">
        <f>IF(H347="","",MID(VLOOKUP(H347,Codigo_Material!$A$2:$C$9999,2,0),1,30))</f>
        <v/>
      </c>
      <c r="J347" s="57"/>
      <c r="K347" s="54" t="str">
        <f>IF(H347="","",MID(VLOOKUP(H347,Codigo_Material!$A$2:$C$6426,3,0),1,25))</f>
        <v/>
      </c>
      <c r="L347" s="19"/>
      <c r="M347" s="20"/>
      <c r="N347" s="1"/>
      <c r="O347" s="2"/>
      <c r="P347" s="58"/>
      <c r="Q347" s="58"/>
      <c r="R347" s="58"/>
      <c r="S347" s="55"/>
      <c r="T347" s="36"/>
    </row>
    <row r="348" spans="1:20" s="37" customFormat="1" x14ac:dyDescent="0.25">
      <c r="A348" s="33"/>
      <c r="B348" s="54" t="str">
        <f t="shared" si="25"/>
        <v>K4B6</v>
      </c>
      <c r="C348" s="56" t="str">
        <f t="shared" si="26"/>
        <v>OBRA</v>
      </c>
      <c r="D348" s="56"/>
      <c r="E348" s="54" t="str">
        <f t="shared" si="27"/>
        <v/>
      </c>
      <c r="F348" s="22" t="str">
        <f t="shared" si="28"/>
        <v/>
      </c>
      <c r="G348" s="22" t="str">
        <f t="shared" si="29"/>
        <v/>
      </c>
      <c r="H348" s="49"/>
      <c r="I348" s="57" t="str">
        <f>IF(H348="","",MID(VLOOKUP(H348,Codigo_Material!$A$2:$C$9999,2,0),1,30))</f>
        <v/>
      </c>
      <c r="J348" s="57"/>
      <c r="K348" s="54" t="str">
        <f>IF(H348="","",MID(VLOOKUP(H348,Codigo_Material!$A$2:$C$6426,3,0),1,25))</f>
        <v/>
      </c>
      <c r="L348" s="19"/>
      <c r="M348" s="20"/>
      <c r="N348" s="1"/>
      <c r="O348" s="2"/>
      <c r="P348" s="58"/>
      <c r="Q348" s="58"/>
      <c r="R348" s="58"/>
      <c r="S348" s="55"/>
      <c r="T348" s="36"/>
    </row>
    <row r="349" spans="1:20" s="37" customFormat="1" x14ac:dyDescent="0.25">
      <c r="A349" s="33"/>
      <c r="B349" s="54" t="str">
        <f t="shared" si="25"/>
        <v>K4B6</v>
      </c>
      <c r="C349" s="56" t="str">
        <f t="shared" si="26"/>
        <v>OBRA</v>
      </c>
      <c r="D349" s="56"/>
      <c r="E349" s="54" t="str">
        <f t="shared" si="27"/>
        <v/>
      </c>
      <c r="F349" s="22" t="str">
        <f t="shared" si="28"/>
        <v/>
      </c>
      <c r="G349" s="22" t="str">
        <f t="shared" si="29"/>
        <v/>
      </c>
      <c r="H349" s="49"/>
      <c r="I349" s="57" t="str">
        <f>IF(H349="","",MID(VLOOKUP(H349,Codigo_Material!$A$2:$C$9999,2,0),1,30))</f>
        <v/>
      </c>
      <c r="J349" s="57"/>
      <c r="K349" s="54" t="str">
        <f>IF(H349="","",MID(VLOOKUP(H349,Codigo_Material!$A$2:$C$6426,3,0),1,25))</f>
        <v/>
      </c>
      <c r="L349" s="19"/>
      <c r="M349" s="20"/>
      <c r="N349" s="1"/>
      <c r="O349" s="2"/>
      <c r="P349" s="58"/>
      <c r="Q349" s="58"/>
      <c r="R349" s="58"/>
      <c r="S349" s="55"/>
      <c r="T349" s="36"/>
    </row>
    <row r="350" spans="1:20" s="37" customFormat="1" x14ac:dyDescent="0.25">
      <c r="A350" s="33"/>
      <c r="B350" s="54" t="str">
        <f t="shared" si="25"/>
        <v>K4B6</v>
      </c>
      <c r="C350" s="56" t="str">
        <f t="shared" si="26"/>
        <v>OBRA</v>
      </c>
      <c r="D350" s="56"/>
      <c r="E350" s="54" t="str">
        <f t="shared" si="27"/>
        <v/>
      </c>
      <c r="F350" s="22" t="str">
        <f t="shared" si="28"/>
        <v/>
      </c>
      <c r="G350" s="22" t="str">
        <f t="shared" si="29"/>
        <v/>
      </c>
      <c r="H350" s="49"/>
      <c r="I350" s="57" t="str">
        <f>IF(H350="","",MID(VLOOKUP(H350,Codigo_Material!$A$2:$C$9999,2,0),1,30))</f>
        <v/>
      </c>
      <c r="J350" s="57"/>
      <c r="K350" s="54" t="str">
        <f>IF(H350="","",MID(VLOOKUP(H350,Codigo_Material!$A$2:$C$6426,3,0),1,25))</f>
        <v/>
      </c>
      <c r="L350" s="19"/>
      <c r="M350" s="20"/>
      <c r="N350" s="1"/>
      <c r="O350" s="2"/>
      <c r="P350" s="58"/>
      <c r="Q350" s="58"/>
      <c r="R350" s="58"/>
      <c r="S350" s="55"/>
      <c r="T350" s="36"/>
    </row>
    <row r="351" spans="1:20" s="37" customFormat="1" x14ac:dyDescent="0.25">
      <c r="A351" s="33"/>
      <c r="B351" s="54" t="str">
        <f t="shared" si="25"/>
        <v>K4B6</v>
      </c>
      <c r="C351" s="56" t="str">
        <f t="shared" si="26"/>
        <v>OBRA</v>
      </c>
      <c r="D351" s="56"/>
      <c r="E351" s="54" t="str">
        <f t="shared" si="27"/>
        <v/>
      </c>
      <c r="F351" s="22" t="str">
        <f t="shared" si="28"/>
        <v/>
      </c>
      <c r="G351" s="22" t="str">
        <f t="shared" si="29"/>
        <v/>
      </c>
      <c r="H351" s="49"/>
      <c r="I351" s="57" t="str">
        <f>IF(H351="","",MID(VLOOKUP(H351,Codigo_Material!$A$2:$C$9999,2,0),1,30))</f>
        <v/>
      </c>
      <c r="J351" s="57"/>
      <c r="K351" s="54" t="str">
        <f>IF(H351="","",MID(VLOOKUP(H351,Codigo_Material!$A$2:$C$6426,3,0),1,25))</f>
        <v/>
      </c>
      <c r="L351" s="19"/>
      <c r="M351" s="20"/>
      <c r="N351" s="1"/>
      <c r="O351" s="2"/>
      <c r="P351" s="58"/>
      <c r="Q351" s="58"/>
      <c r="R351" s="58"/>
      <c r="S351" s="55"/>
      <c r="T351" s="36"/>
    </row>
    <row r="352" spans="1:20" s="37" customFormat="1" x14ac:dyDescent="0.25">
      <c r="A352" s="33"/>
      <c r="B352" s="54" t="str">
        <f t="shared" si="25"/>
        <v>K4B6</v>
      </c>
      <c r="C352" s="56" t="str">
        <f t="shared" si="26"/>
        <v>OBRA</v>
      </c>
      <c r="D352" s="56"/>
      <c r="E352" s="54" t="str">
        <f t="shared" si="27"/>
        <v/>
      </c>
      <c r="F352" s="22" t="str">
        <f t="shared" si="28"/>
        <v/>
      </c>
      <c r="G352" s="22" t="str">
        <f t="shared" si="29"/>
        <v/>
      </c>
      <c r="H352" s="49"/>
      <c r="I352" s="57" t="str">
        <f>IF(H352="","",MID(VLOOKUP(H352,Codigo_Material!$A$2:$C$9999,2,0),1,30))</f>
        <v/>
      </c>
      <c r="J352" s="57"/>
      <c r="K352" s="54" t="str">
        <f>IF(H352="","",MID(VLOOKUP(H352,Codigo_Material!$A$2:$C$6426,3,0),1,25))</f>
        <v/>
      </c>
      <c r="L352" s="19"/>
      <c r="M352" s="20"/>
      <c r="N352" s="1"/>
      <c r="O352" s="2"/>
      <c r="P352" s="58"/>
      <c r="Q352" s="58"/>
      <c r="R352" s="58"/>
      <c r="S352" s="55"/>
      <c r="T352" s="36"/>
    </row>
    <row r="353" spans="1:20" s="37" customFormat="1" x14ac:dyDescent="0.25">
      <c r="A353" s="33"/>
      <c r="B353" s="54" t="str">
        <f t="shared" si="25"/>
        <v>K4B6</v>
      </c>
      <c r="C353" s="56" t="str">
        <f t="shared" si="26"/>
        <v>OBRA</v>
      </c>
      <c r="D353" s="56"/>
      <c r="E353" s="54" t="str">
        <f t="shared" si="27"/>
        <v/>
      </c>
      <c r="F353" s="22" t="str">
        <f t="shared" si="28"/>
        <v/>
      </c>
      <c r="G353" s="22" t="str">
        <f t="shared" si="29"/>
        <v/>
      </c>
      <c r="H353" s="49"/>
      <c r="I353" s="57" t="str">
        <f>IF(H353="","",MID(VLOOKUP(H353,Codigo_Material!$A$2:$C$9999,2,0),1,30))</f>
        <v/>
      </c>
      <c r="J353" s="57"/>
      <c r="K353" s="54" t="str">
        <f>IF(H353="","",MID(VLOOKUP(H353,Codigo_Material!$A$2:$C$6426,3,0),1,25))</f>
        <v/>
      </c>
      <c r="L353" s="19"/>
      <c r="M353" s="20"/>
      <c r="N353" s="1"/>
      <c r="O353" s="2"/>
      <c r="P353" s="58"/>
      <c r="Q353" s="58"/>
      <c r="R353" s="58"/>
      <c r="S353" s="55"/>
      <c r="T353" s="36"/>
    </row>
    <row r="354" spans="1:20" s="37" customFormat="1" x14ac:dyDescent="0.25">
      <c r="A354" s="33"/>
      <c r="B354" s="54" t="str">
        <f t="shared" si="25"/>
        <v>K4B6</v>
      </c>
      <c r="C354" s="56" t="str">
        <f t="shared" si="26"/>
        <v>OBRA</v>
      </c>
      <c r="D354" s="56"/>
      <c r="E354" s="54" t="str">
        <f t="shared" si="27"/>
        <v/>
      </c>
      <c r="F354" s="22" t="str">
        <f t="shared" si="28"/>
        <v/>
      </c>
      <c r="G354" s="22" t="str">
        <f t="shared" si="29"/>
        <v/>
      </c>
      <c r="H354" s="49"/>
      <c r="I354" s="57" t="str">
        <f>IF(H354="","",MID(VLOOKUP(H354,Codigo_Material!$A$2:$C$9999,2,0),1,30))</f>
        <v/>
      </c>
      <c r="J354" s="57"/>
      <c r="K354" s="54" t="str">
        <f>IF(H354="","",MID(VLOOKUP(H354,Codigo_Material!$A$2:$C$6426,3,0),1,25))</f>
        <v/>
      </c>
      <c r="L354" s="19"/>
      <c r="M354" s="20"/>
      <c r="N354" s="1"/>
      <c r="O354" s="2"/>
      <c r="P354" s="58"/>
      <c r="Q354" s="58"/>
      <c r="R354" s="58"/>
      <c r="S354" s="55"/>
      <c r="T354" s="36"/>
    </row>
    <row r="355" spans="1:20" s="37" customFormat="1" x14ac:dyDescent="0.25">
      <c r="A355" s="33"/>
      <c r="B355" s="54" t="str">
        <f t="shared" si="25"/>
        <v>K4B6</v>
      </c>
      <c r="C355" s="56" t="str">
        <f t="shared" si="26"/>
        <v>OBRA</v>
      </c>
      <c r="D355" s="56"/>
      <c r="E355" s="54" t="str">
        <f t="shared" si="27"/>
        <v/>
      </c>
      <c r="F355" s="22" t="str">
        <f t="shared" si="28"/>
        <v/>
      </c>
      <c r="G355" s="22" t="str">
        <f t="shared" si="29"/>
        <v/>
      </c>
      <c r="H355" s="49"/>
      <c r="I355" s="57" t="str">
        <f>IF(H355="","",MID(VLOOKUP(H355,Codigo_Material!$A$2:$C$9999,2,0),1,30))</f>
        <v/>
      </c>
      <c r="J355" s="57"/>
      <c r="K355" s="54" t="str">
        <f>IF(H355="","",MID(VLOOKUP(H355,Codigo_Material!$A$2:$C$6426,3,0),1,25))</f>
        <v/>
      </c>
      <c r="L355" s="19"/>
      <c r="M355" s="20"/>
      <c r="N355" s="1"/>
      <c r="O355" s="2"/>
      <c r="P355" s="58"/>
      <c r="Q355" s="58"/>
      <c r="R355" s="58"/>
      <c r="S355" s="55"/>
      <c r="T355" s="36"/>
    </row>
    <row r="356" spans="1:20" s="37" customFormat="1" x14ac:dyDescent="0.25">
      <c r="A356" s="33"/>
      <c r="B356" s="54" t="str">
        <f t="shared" si="25"/>
        <v>K4B6</v>
      </c>
      <c r="C356" s="56" t="str">
        <f t="shared" si="26"/>
        <v>OBRA</v>
      </c>
      <c r="D356" s="56"/>
      <c r="E356" s="54" t="str">
        <f t="shared" si="27"/>
        <v/>
      </c>
      <c r="F356" s="22" t="str">
        <f t="shared" si="28"/>
        <v/>
      </c>
      <c r="G356" s="22" t="str">
        <f t="shared" si="29"/>
        <v/>
      </c>
      <c r="H356" s="49"/>
      <c r="I356" s="57" t="str">
        <f>IF(H356="","",MID(VLOOKUP(H356,Codigo_Material!$A$2:$C$9999,2,0),1,30))</f>
        <v/>
      </c>
      <c r="J356" s="57"/>
      <c r="K356" s="54" t="str">
        <f>IF(H356="","",MID(VLOOKUP(H356,Codigo_Material!$A$2:$C$6426,3,0),1,25))</f>
        <v/>
      </c>
      <c r="L356" s="19"/>
      <c r="M356" s="20"/>
      <c r="N356" s="1"/>
      <c r="O356" s="2"/>
      <c r="P356" s="58"/>
      <c r="Q356" s="58"/>
      <c r="R356" s="58"/>
      <c r="S356" s="55"/>
      <c r="T356" s="36"/>
    </row>
    <row r="357" spans="1:20" s="37" customFormat="1" x14ac:dyDescent="0.25">
      <c r="A357" s="33"/>
      <c r="B357" s="54" t="str">
        <f t="shared" si="25"/>
        <v>K4B6</v>
      </c>
      <c r="C357" s="56" t="str">
        <f t="shared" si="26"/>
        <v>OBRA</v>
      </c>
      <c r="D357" s="56"/>
      <c r="E357" s="54" t="str">
        <f t="shared" si="27"/>
        <v/>
      </c>
      <c r="F357" s="22" t="str">
        <f t="shared" si="28"/>
        <v/>
      </c>
      <c r="G357" s="22" t="str">
        <f t="shared" si="29"/>
        <v/>
      </c>
      <c r="H357" s="49"/>
      <c r="I357" s="57" t="str">
        <f>IF(H357="","",MID(VLOOKUP(H357,Codigo_Material!$A$2:$C$9999,2,0),1,30))</f>
        <v/>
      </c>
      <c r="J357" s="57"/>
      <c r="K357" s="54" t="str">
        <f>IF(H357="","",MID(VLOOKUP(H357,Codigo_Material!$A$2:$C$6426,3,0),1,25))</f>
        <v/>
      </c>
      <c r="L357" s="19"/>
      <c r="M357" s="20"/>
      <c r="N357" s="1"/>
      <c r="O357" s="2"/>
      <c r="P357" s="58"/>
      <c r="Q357" s="58"/>
      <c r="R357" s="58"/>
      <c r="S357" s="55"/>
      <c r="T357" s="36"/>
    </row>
    <row r="358" spans="1:20" s="37" customFormat="1" x14ac:dyDescent="0.25">
      <c r="A358" s="33"/>
      <c r="B358" s="54" t="str">
        <f t="shared" si="25"/>
        <v>K4B6</v>
      </c>
      <c r="C358" s="56" t="str">
        <f t="shared" si="26"/>
        <v>OBRA</v>
      </c>
      <c r="D358" s="56"/>
      <c r="E358" s="54" t="str">
        <f t="shared" si="27"/>
        <v/>
      </c>
      <c r="F358" s="22" t="str">
        <f t="shared" si="28"/>
        <v/>
      </c>
      <c r="G358" s="22" t="str">
        <f t="shared" si="29"/>
        <v/>
      </c>
      <c r="H358" s="49"/>
      <c r="I358" s="57" t="str">
        <f>IF(H358="","",MID(VLOOKUP(H358,Codigo_Material!$A$2:$C$9999,2,0),1,30))</f>
        <v/>
      </c>
      <c r="J358" s="57"/>
      <c r="K358" s="54" t="str">
        <f>IF(H358="","",MID(VLOOKUP(H358,Codigo_Material!$A$2:$C$6426,3,0),1,25))</f>
        <v/>
      </c>
      <c r="L358" s="19"/>
      <c r="M358" s="20"/>
      <c r="N358" s="1"/>
      <c r="O358" s="2"/>
      <c r="P358" s="58"/>
      <c r="Q358" s="58"/>
      <c r="R358" s="58"/>
      <c r="S358" s="55"/>
      <c r="T358" s="36"/>
    </row>
    <row r="359" spans="1:20" s="37" customFormat="1" x14ac:dyDescent="0.25">
      <c r="A359" s="33"/>
      <c r="B359" s="54" t="str">
        <f t="shared" si="25"/>
        <v>K4B6</v>
      </c>
      <c r="C359" s="56" t="str">
        <f t="shared" si="26"/>
        <v>OBRA</v>
      </c>
      <c r="D359" s="56"/>
      <c r="E359" s="54" t="str">
        <f t="shared" si="27"/>
        <v/>
      </c>
      <c r="F359" s="22" t="str">
        <f t="shared" si="28"/>
        <v/>
      </c>
      <c r="G359" s="22" t="str">
        <f t="shared" si="29"/>
        <v/>
      </c>
      <c r="H359" s="49"/>
      <c r="I359" s="57" t="str">
        <f>IF(H359="","",MID(VLOOKUP(H359,Codigo_Material!$A$2:$C$9999,2,0),1,30))</f>
        <v/>
      </c>
      <c r="J359" s="57"/>
      <c r="K359" s="54" t="str">
        <f>IF(H359="","",MID(VLOOKUP(H359,Codigo_Material!$A$2:$C$6426,3,0),1,25))</f>
        <v/>
      </c>
      <c r="L359" s="19"/>
      <c r="M359" s="20"/>
      <c r="N359" s="1"/>
      <c r="O359" s="2"/>
      <c r="P359" s="58"/>
      <c r="Q359" s="58"/>
      <c r="R359" s="58"/>
      <c r="S359" s="55"/>
      <c r="T359" s="36"/>
    </row>
    <row r="360" spans="1:20" s="37" customFormat="1" x14ac:dyDescent="0.25">
      <c r="A360" s="33"/>
      <c r="B360" s="54" t="str">
        <f t="shared" si="25"/>
        <v>K4B6</v>
      </c>
      <c r="C360" s="56" t="str">
        <f t="shared" si="26"/>
        <v>OBRA</v>
      </c>
      <c r="D360" s="56"/>
      <c r="E360" s="54" t="str">
        <f t="shared" si="27"/>
        <v/>
      </c>
      <c r="F360" s="22" t="str">
        <f t="shared" si="28"/>
        <v/>
      </c>
      <c r="G360" s="22" t="str">
        <f t="shared" si="29"/>
        <v/>
      </c>
      <c r="H360" s="49"/>
      <c r="I360" s="57" t="str">
        <f>IF(H360="","",MID(VLOOKUP(H360,Codigo_Material!$A$2:$C$9999,2,0),1,30))</f>
        <v/>
      </c>
      <c r="J360" s="57"/>
      <c r="K360" s="54" t="str">
        <f>IF(H360="","",MID(VLOOKUP(H360,Codigo_Material!$A$2:$C$6426,3,0),1,25))</f>
        <v/>
      </c>
      <c r="L360" s="19"/>
      <c r="M360" s="20"/>
      <c r="N360" s="1"/>
      <c r="O360" s="2"/>
      <c r="P360" s="58"/>
      <c r="Q360" s="58"/>
      <c r="R360" s="58"/>
      <c r="S360" s="55"/>
      <c r="T360" s="36"/>
    </row>
    <row r="361" spans="1:20" s="37" customFormat="1" x14ac:dyDescent="0.25">
      <c r="A361" s="33"/>
      <c r="B361" s="54" t="str">
        <f t="shared" si="25"/>
        <v>K4B6</v>
      </c>
      <c r="C361" s="56" t="str">
        <f t="shared" si="26"/>
        <v>OBRA</v>
      </c>
      <c r="D361" s="56"/>
      <c r="E361" s="54" t="str">
        <f t="shared" si="27"/>
        <v/>
      </c>
      <c r="F361" s="22" t="str">
        <f t="shared" si="28"/>
        <v/>
      </c>
      <c r="G361" s="22" t="str">
        <f t="shared" si="29"/>
        <v/>
      </c>
      <c r="H361" s="49"/>
      <c r="I361" s="57" t="str">
        <f>IF(H361="","",MID(VLOOKUP(H361,Codigo_Material!$A$2:$C$9999,2,0),1,30))</f>
        <v/>
      </c>
      <c r="J361" s="57"/>
      <c r="K361" s="54" t="str">
        <f>IF(H361="","",MID(VLOOKUP(H361,Codigo_Material!$A$2:$C$6426,3,0),1,25))</f>
        <v/>
      </c>
      <c r="L361" s="19"/>
      <c r="M361" s="20"/>
      <c r="N361" s="1"/>
      <c r="O361" s="2"/>
      <c r="P361" s="58"/>
      <c r="Q361" s="58"/>
      <c r="R361" s="58"/>
      <c r="S361" s="55"/>
      <c r="T361" s="36"/>
    </row>
    <row r="362" spans="1:20" s="37" customFormat="1" x14ac:dyDescent="0.25">
      <c r="A362" s="33"/>
      <c r="B362" s="54" t="str">
        <f t="shared" si="25"/>
        <v>K4B6</v>
      </c>
      <c r="C362" s="56" t="str">
        <f t="shared" si="26"/>
        <v>OBRA</v>
      </c>
      <c r="D362" s="56"/>
      <c r="E362" s="54" t="str">
        <f t="shared" si="27"/>
        <v/>
      </c>
      <c r="F362" s="22" t="str">
        <f t="shared" si="28"/>
        <v/>
      </c>
      <c r="G362" s="22" t="str">
        <f t="shared" si="29"/>
        <v/>
      </c>
      <c r="H362" s="49"/>
      <c r="I362" s="57" t="str">
        <f>IF(H362="","",MID(VLOOKUP(H362,Codigo_Material!$A$2:$C$9999,2,0),1,30))</f>
        <v/>
      </c>
      <c r="J362" s="57"/>
      <c r="K362" s="54" t="str">
        <f>IF(H362="","",MID(VLOOKUP(H362,Codigo_Material!$A$2:$C$6426,3,0),1,25))</f>
        <v/>
      </c>
      <c r="L362" s="19"/>
      <c r="M362" s="20"/>
      <c r="N362" s="1"/>
      <c r="O362" s="2"/>
      <c r="P362" s="58"/>
      <c r="Q362" s="58"/>
      <c r="R362" s="58"/>
      <c r="S362" s="55"/>
      <c r="T362" s="36"/>
    </row>
    <row r="363" spans="1:20" s="37" customFormat="1" x14ac:dyDescent="0.25">
      <c r="A363" s="33"/>
      <c r="B363" s="54" t="str">
        <f t="shared" si="25"/>
        <v>K4B6</v>
      </c>
      <c r="C363" s="56" t="str">
        <f t="shared" si="26"/>
        <v>OBRA</v>
      </c>
      <c r="D363" s="56"/>
      <c r="E363" s="54" t="str">
        <f t="shared" si="27"/>
        <v/>
      </c>
      <c r="F363" s="22" t="str">
        <f t="shared" si="28"/>
        <v/>
      </c>
      <c r="G363" s="22" t="str">
        <f t="shared" si="29"/>
        <v/>
      </c>
      <c r="H363" s="49"/>
      <c r="I363" s="57" t="str">
        <f>IF(H363="","",MID(VLOOKUP(H363,Codigo_Material!$A$2:$C$9999,2,0),1,30))</f>
        <v/>
      </c>
      <c r="J363" s="57"/>
      <c r="K363" s="54" t="str">
        <f>IF(H363="","",MID(VLOOKUP(H363,Codigo_Material!$A$2:$C$6426,3,0),1,25))</f>
        <v/>
      </c>
      <c r="L363" s="19"/>
      <c r="M363" s="20"/>
      <c r="N363" s="1"/>
      <c r="O363" s="2"/>
      <c r="P363" s="58"/>
      <c r="Q363" s="58"/>
      <c r="R363" s="58"/>
      <c r="S363" s="55"/>
      <c r="T363" s="36"/>
    </row>
    <row r="364" spans="1:20" s="37" customFormat="1" x14ac:dyDescent="0.25">
      <c r="A364" s="33"/>
      <c r="B364" s="54" t="str">
        <f t="shared" si="25"/>
        <v>K4B6</v>
      </c>
      <c r="C364" s="56" t="str">
        <f t="shared" si="26"/>
        <v>OBRA</v>
      </c>
      <c r="D364" s="56"/>
      <c r="E364" s="54" t="str">
        <f t="shared" si="27"/>
        <v/>
      </c>
      <c r="F364" s="22" t="str">
        <f t="shared" si="28"/>
        <v/>
      </c>
      <c r="G364" s="22" t="str">
        <f t="shared" si="29"/>
        <v/>
      </c>
      <c r="H364" s="49"/>
      <c r="I364" s="57" t="str">
        <f>IF(H364="","",MID(VLOOKUP(H364,Codigo_Material!$A$2:$C$9999,2,0),1,30))</f>
        <v/>
      </c>
      <c r="J364" s="57"/>
      <c r="K364" s="54" t="str">
        <f>IF(H364="","",MID(VLOOKUP(H364,Codigo_Material!$A$2:$C$6426,3,0),1,25))</f>
        <v/>
      </c>
      <c r="L364" s="19"/>
      <c r="M364" s="20"/>
      <c r="N364" s="1"/>
      <c r="O364" s="2"/>
      <c r="P364" s="58"/>
      <c r="Q364" s="58"/>
      <c r="R364" s="58"/>
      <c r="S364" s="55"/>
      <c r="T364" s="36"/>
    </row>
    <row r="365" spans="1:20" s="37" customFormat="1" x14ac:dyDescent="0.25">
      <c r="A365" s="33"/>
      <c r="B365" s="54" t="str">
        <f t="shared" si="25"/>
        <v>K4B6</v>
      </c>
      <c r="C365" s="56" t="str">
        <f t="shared" si="26"/>
        <v>OBRA</v>
      </c>
      <c r="D365" s="56"/>
      <c r="E365" s="54" t="str">
        <f t="shared" si="27"/>
        <v/>
      </c>
      <c r="F365" s="22" t="str">
        <f t="shared" si="28"/>
        <v/>
      </c>
      <c r="G365" s="22" t="str">
        <f t="shared" si="29"/>
        <v/>
      </c>
      <c r="H365" s="49"/>
      <c r="I365" s="57" t="str">
        <f>IF(H365="","",MID(VLOOKUP(H365,Codigo_Material!$A$2:$C$9999,2,0),1,30))</f>
        <v/>
      </c>
      <c r="J365" s="57"/>
      <c r="K365" s="54" t="str">
        <f>IF(H365="","",MID(VLOOKUP(H365,Codigo_Material!$A$2:$C$6426,3,0),1,25))</f>
        <v/>
      </c>
      <c r="L365" s="19"/>
      <c r="M365" s="20"/>
      <c r="N365" s="1"/>
      <c r="O365" s="2"/>
      <c r="P365" s="58"/>
      <c r="Q365" s="58"/>
      <c r="R365" s="58"/>
      <c r="S365" s="55"/>
      <c r="T365" s="36"/>
    </row>
    <row r="366" spans="1:20" s="37" customFormat="1" x14ac:dyDescent="0.25">
      <c r="A366" s="33"/>
      <c r="B366" s="54" t="str">
        <f t="shared" si="25"/>
        <v>K4B6</v>
      </c>
      <c r="C366" s="56" t="str">
        <f t="shared" si="26"/>
        <v>OBRA</v>
      </c>
      <c r="D366" s="56"/>
      <c r="E366" s="54" t="str">
        <f t="shared" si="27"/>
        <v/>
      </c>
      <c r="F366" s="22" t="str">
        <f t="shared" si="28"/>
        <v/>
      </c>
      <c r="G366" s="22" t="str">
        <f t="shared" si="29"/>
        <v/>
      </c>
      <c r="H366" s="49"/>
      <c r="I366" s="57" t="str">
        <f>IF(H366="","",MID(VLOOKUP(H366,Codigo_Material!$A$2:$C$9999,2,0),1,30))</f>
        <v/>
      </c>
      <c r="J366" s="57"/>
      <c r="K366" s="54" t="str">
        <f>IF(H366="","",MID(VLOOKUP(H366,Codigo_Material!$A$2:$C$6426,3,0),1,25))</f>
        <v/>
      </c>
      <c r="L366" s="19"/>
      <c r="M366" s="20"/>
      <c r="N366" s="1"/>
      <c r="O366" s="2"/>
      <c r="P366" s="58"/>
      <c r="Q366" s="58"/>
      <c r="R366" s="58"/>
      <c r="S366" s="55"/>
      <c r="T366" s="36"/>
    </row>
    <row r="367" spans="1:20" s="37" customFormat="1" x14ac:dyDescent="0.25">
      <c r="A367" s="33"/>
      <c r="B367" s="54" t="str">
        <f t="shared" si="25"/>
        <v>K4B6</v>
      </c>
      <c r="C367" s="56" t="str">
        <f t="shared" si="26"/>
        <v>OBRA</v>
      </c>
      <c r="D367" s="56"/>
      <c r="E367" s="54" t="str">
        <f t="shared" si="27"/>
        <v/>
      </c>
      <c r="F367" s="22" t="str">
        <f t="shared" si="28"/>
        <v/>
      </c>
      <c r="G367" s="22" t="str">
        <f t="shared" si="29"/>
        <v/>
      </c>
      <c r="H367" s="49"/>
      <c r="I367" s="57" t="str">
        <f>IF(H367="","",MID(VLOOKUP(H367,Codigo_Material!$A$2:$C$9999,2,0),1,30))</f>
        <v/>
      </c>
      <c r="J367" s="57"/>
      <c r="K367" s="54" t="str">
        <f>IF(H367="","",MID(VLOOKUP(H367,Codigo_Material!$A$2:$C$6426,3,0),1,25))</f>
        <v/>
      </c>
      <c r="L367" s="19"/>
      <c r="M367" s="20"/>
      <c r="N367" s="1"/>
      <c r="O367" s="2"/>
      <c r="P367" s="58"/>
      <c r="Q367" s="58"/>
      <c r="R367" s="58"/>
      <c r="S367" s="55"/>
      <c r="T367" s="36"/>
    </row>
    <row r="368" spans="1:20" s="37" customFormat="1" x14ac:dyDescent="0.25">
      <c r="A368" s="33"/>
      <c r="B368" s="54" t="str">
        <f t="shared" si="25"/>
        <v>K4B6</v>
      </c>
      <c r="C368" s="56" t="str">
        <f t="shared" si="26"/>
        <v>OBRA</v>
      </c>
      <c r="D368" s="56"/>
      <c r="E368" s="54" t="str">
        <f t="shared" si="27"/>
        <v/>
      </c>
      <c r="F368" s="22" t="str">
        <f t="shared" si="28"/>
        <v/>
      </c>
      <c r="G368" s="22" t="str">
        <f t="shared" si="29"/>
        <v/>
      </c>
      <c r="H368" s="49"/>
      <c r="I368" s="57" t="str">
        <f>IF(H368="","",MID(VLOOKUP(H368,Codigo_Material!$A$2:$C$9999,2,0),1,30))</f>
        <v/>
      </c>
      <c r="J368" s="57"/>
      <c r="K368" s="54" t="str">
        <f>IF(H368="","",MID(VLOOKUP(H368,Codigo_Material!$A$2:$C$6426,3,0),1,25))</f>
        <v/>
      </c>
      <c r="L368" s="19"/>
      <c r="M368" s="20"/>
      <c r="N368" s="1"/>
      <c r="O368" s="2"/>
      <c r="P368" s="58"/>
      <c r="Q368" s="58"/>
      <c r="R368" s="58"/>
      <c r="S368" s="55"/>
      <c r="T368" s="36"/>
    </row>
    <row r="369" spans="1:20" s="37" customFormat="1" x14ac:dyDescent="0.25">
      <c r="A369" s="33"/>
      <c r="B369" s="54" t="str">
        <f t="shared" si="25"/>
        <v>K4B6</v>
      </c>
      <c r="C369" s="56" t="str">
        <f t="shared" si="26"/>
        <v>OBRA</v>
      </c>
      <c r="D369" s="56"/>
      <c r="E369" s="54" t="str">
        <f t="shared" si="27"/>
        <v/>
      </c>
      <c r="F369" s="22" t="str">
        <f t="shared" si="28"/>
        <v/>
      </c>
      <c r="G369" s="22" t="str">
        <f t="shared" si="29"/>
        <v/>
      </c>
      <c r="H369" s="49"/>
      <c r="I369" s="57" t="str">
        <f>IF(H369="","",MID(VLOOKUP(H369,Codigo_Material!$A$2:$C$9999,2,0),1,30))</f>
        <v/>
      </c>
      <c r="J369" s="57"/>
      <c r="K369" s="54" t="str">
        <f>IF(H369="","",MID(VLOOKUP(H369,Codigo_Material!$A$2:$C$6426,3,0),1,25))</f>
        <v/>
      </c>
      <c r="L369" s="19"/>
      <c r="M369" s="20"/>
      <c r="N369" s="1"/>
      <c r="O369" s="2"/>
      <c r="P369" s="58"/>
      <c r="Q369" s="58"/>
      <c r="R369" s="58"/>
      <c r="S369" s="55"/>
      <c r="T369" s="36"/>
    </row>
    <row r="370" spans="1:20" s="37" customFormat="1" x14ac:dyDescent="0.25">
      <c r="A370" s="33"/>
      <c r="B370" s="54" t="str">
        <f t="shared" si="25"/>
        <v>K4B6</v>
      </c>
      <c r="C370" s="56" t="str">
        <f t="shared" si="26"/>
        <v>OBRA</v>
      </c>
      <c r="D370" s="56"/>
      <c r="E370" s="54" t="str">
        <f t="shared" si="27"/>
        <v/>
      </c>
      <c r="F370" s="22" t="str">
        <f t="shared" si="28"/>
        <v/>
      </c>
      <c r="G370" s="22" t="str">
        <f t="shared" si="29"/>
        <v/>
      </c>
      <c r="H370" s="49"/>
      <c r="I370" s="57" t="str">
        <f>IF(H370="","",MID(VLOOKUP(H370,Codigo_Material!$A$2:$C$9999,2,0),1,30))</f>
        <v/>
      </c>
      <c r="J370" s="57"/>
      <c r="K370" s="54" t="str">
        <f>IF(H370="","",MID(VLOOKUP(H370,Codigo_Material!$A$2:$C$6426,3,0),1,25))</f>
        <v/>
      </c>
      <c r="L370" s="19"/>
      <c r="M370" s="20"/>
      <c r="N370" s="1"/>
      <c r="O370" s="2"/>
      <c r="P370" s="58"/>
      <c r="Q370" s="58"/>
      <c r="R370" s="58"/>
      <c r="S370" s="55"/>
      <c r="T370" s="36"/>
    </row>
    <row r="371" spans="1:20" s="37" customFormat="1" x14ac:dyDescent="0.25">
      <c r="A371" s="33"/>
      <c r="B371" s="54" t="str">
        <f t="shared" si="25"/>
        <v>K4B6</v>
      </c>
      <c r="C371" s="56" t="str">
        <f t="shared" si="26"/>
        <v>OBRA</v>
      </c>
      <c r="D371" s="56"/>
      <c r="E371" s="54" t="str">
        <f t="shared" si="27"/>
        <v/>
      </c>
      <c r="F371" s="22" t="str">
        <f t="shared" si="28"/>
        <v/>
      </c>
      <c r="G371" s="22" t="str">
        <f t="shared" si="29"/>
        <v/>
      </c>
      <c r="H371" s="49"/>
      <c r="I371" s="57" t="str">
        <f>IF(H371="","",MID(VLOOKUP(H371,Codigo_Material!$A$2:$C$9999,2,0),1,30))</f>
        <v/>
      </c>
      <c r="J371" s="57"/>
      <c r="K371" s="54" t="str">
        <f>IF(H371="","",MID(VLOOKUP(H371,Codigo_Material!$A$2:$C$6426,3,0),1,25))</f>
        <v/>
      </c>
      <c r="L371" s="19"/>
      <c r="M371" s="20"/>
      <c r="N371" s="1"/>
      <c r="O371" s="2"/>
      <c r="P371" s="58"/>
      <c r="Q371" s="58"/>
      <c r="R371" s="58"/>
      <c r="S371" s="55"/>
      <c r="T371" s="36"/>
    </row>
    <row r="372" spans="1:20" s="37" customFormat="1" x14ac:dyDescent="0.25">
      <c r="A372" s="33"/>
      <c r="B372" s="54" t="str">
        <f t="shared" si="25"/>
        <v>K4B6</v>
      </c>
      <c r="C372" s="56" t="str">
        <f t="shared" si="26"/>
        <v>OBRA</v>
      </c>
      <c r="D372" s="56"/>
      <c r="E372" s="54" t="str">
        <f t="shared" si="27"/>
        <v/>
      </c>
      <c r="F372" s="22" t="str">
        <f t="shared" si="28"/>
        <v/>
      </c>
      <c r="G372" s="22" t="str">
        <f t="shared" si="29"/>
        <v/>
      </c>
      <c r="H372" s="49"/>
      <c r="I372" s="57" t="str">
        <f>IF(H372="","",MID(VLOOKUP(H372,Codigo_Material!$A$2:$C$9999,2,0),1,30))</f>
        <v/>
      </c>
      <c r="J372" s="57"/>
      <c r="K372" s="54" t="str">
        <f>IF(H372="","",MID(VLOOKUP(H372,Codigo_Material!$A$2:$C$6426,3,0),1,25))</f>
        <v/>
      </c>
      <c r="L372" s="19"/>
      <c r="M372" s="20"/>
      <c r="N372" s="1"/>
      <c r="O372" s="2"/>
      <c r="P372" s="58"/>
      <c r="Q372" s="58"/>
      <c r="R372" s="58"/>
      <c r="S372" s="55"/>
      <c r="T372" s="36"/>
    </row>
    <row r="373" spans="1:20" s="37" customFormat="1" x14ac:dyDescent="0.25">
      <c r="A373" s="33"/>
      <c r="B373" s="54" t="str">
        <f t="shared" si="25"/>
        <v>K4B6</v>
      </c>
      <c r="C373" s="56" t="str">
        <f t="shared" si="26"/>
        <v>OBRA</v>
      </c>
      <c r="D373" s="56"/>
      <c r="E373" s="54" t="str">
        <f t="shared" si="27"/>
        <v/>
      </c>
      <c r="F373" s="22" t="str">
        <f t="shared" si="28"/>
        <v/>
      </c>
      <c r="G373" s="22" t="str">
        <f t="shared" si="29"/>
        <v/>
      </c>
      <c r="H373" s="49"/>
      <c r="I373" s="57" t="str">
        <f>IF(H373="","",MID(VLOOKUP(H373,Codigo_Material!$A$2:$C$9999,2,0),1,30))</f>
        <v/>
      </c>
      <c r="J373" s="57"/>
      <c r="K373" s="54" t="str">
        <f>IF(H373="","",MID(VLOOKUP(H373,Codigo_Material!$A$2:$C$6426,3,0),1,25))</f>
        <v/>
      </c>
      <c r="L373" s="19"/>
      <c r="M373" s="20"/>
      <c r="N373" s="1"/>
      <c r="O373" s="2"/>
      <c r="P373" s="58"/>
      <c r="Q373" s="58"/>
      <c r="R373" s="58"/>
      <c r="S373" s="55"/>
      <c r="T373" s="36"/>
    </row>
    <row r="374" spans="1:20" s="37" customFormat="1" x14ac:dyDescent="0.25">
      <c r="A374" s="33"/>
      <c r="B374" s="54" t="str">
        <f t="shared" si="25"/>
        <v>K4B6</v>
      </c>
      <c r="C374" s="56" t="str">
        <f t="shared" si="26"/>
        <v>OBRA</v>
      </c>
      <c r="D374" s="56"/>
      <c r="E374" s="54" t="str">
        <f t="shared" si="27"/>
        <v/>
      </c>
      <c r="F374" s="22" t="str">
        <f t="shared" si="28"/>
        <v/>
      </c>
      <c r="G374" s="22" t="str">
        <f t="shared" si="29"/>
        <v/>
      </c>
      <c r="H374" s="49"/>
      <c r="I374" s="57" t="str">
        <f>IF(H374="","",MID(VLOOKUP(H374,Codigo_Material!$A$2:$C$9999,2,0),1,30))</f>
        <v/>
      </c>
      <c r="J374" s="57"/>
      <c r="K374" s="54" t="str">
        <f>IF(H374="","",MID(VLOOKUP(H374,Codigo_Material!$A$2:$C$6426,3,0),1,25))</f>
        <v/>
      </c>
      <c r="L374" s="19"/>
      <c r="M374" s="20"/>
      <c r="N374" s="1"/>
      <c r="O374" s="2"/>
      <c r="P374" s="58"/>
      <c r="Q374" s="58"/>
      <c r="R374" s="58"/>
      <c r="S374" s="55"/>
      <c r="T374" s="36"/>
    </row>
    <row r="375" spans="1:20" s="37" customFormat="1" x14ac:dyDescent="0.25">
      <c r="A375" s="33"/>
      <c r="B375" s="54" t="str">
        <f t="shared" si="25"/>
        <v>K4B6</v>
      </c>
      <c r="C375" s="56" t="str">
        <f t="shared" si="26"/>
        <v>OBRA</v>
      </c>
      <c r="D375" s="56"/>
      <c r="E375" s="54" t="str">
        <f t="shared" si="27"/>
        <v/>
      </c>
      <c r="F375" s="22" t="str">
        <f t="shared" si="28"/>
        <v/>
      </c>
      <c r="G375" s="22" t="str">
        <f t="shared" si="29"/>
        <v/>
      </c>
      <c r="H375" s="49"/>
      <c r="I375" s="57" t="str">
        <f>IF(H375="","",MID(VLOOKUP(H375,Codigo_Material!$A$2:$C$9999,2,0),1,30))</f>
        <v/>
      </c>
      <c r="J375" s="57"/>
      <c r="K375" s="54" t="str">
        <f>IF(H375="","",MID(VLOOKUP(H375,Codigo_Material!$A$2:$C$6426,3,0),1,25))</f>
        <v/>
      </c>
      <c r="L375" s="19"/>
      <c r="M375" s="20"/>
      <c r="N375" s="1"/>
      <c r="O375" s="2"/>
      <c r="P375" s="58"/>
      <c r="Q375" s="58"/>
      <c r="R375" s="58"/>
      <c r="S375" s="55"/>
      <c r="T375" s="36"/>
    </row>
    <row r="376" spans="1:20" s="37" customFormat="1" x14ac:dyDescent="0.25">
      <c r="A376" s="33"/>
      <c r="B376" s="54" t="str">
        <f t="shared" si="25"/>
        <v>K4B6</v>
      </c>
      <c r="C376" s="56" t="str">
        <f t="shared" si="26"/>
        <v>OBRA</v>
      </c>
      <c r="D376" s="56"/>
      <c r="E376" s="54" t="str">
        <f t="shared" si="27"/>
        <v/>
      </c>
      <c r="F376" s="22" t="str">
        <f t="shared" si="28"/>
        <v/>
      </c>
      <c r="G376" s="22" t="str">
        <f t="shared" si="29"/>
        <v/>
      </c>
      <c r="H376" s="49"/>
      <c r="I376" s="57" t="str">
        <f>IF(H376="","",MID(VLOOKUP(H376,Codigo_Material!$A$2:$C$9999,2,0),1,30))</f>
        <v/>
      </c>
      <c r="J376" s="57"/>
      <c r="K376" s="54" t="str">
        <f>IF(H376="","",MID(VLOOKUP(H376,Codigo_Material!$A$2:$C$6426,3,0),1,25))</f>
        <v/>
      </c>
      <c r="L376" s="19"/>
      <c r="M376" s="20"/>
      <c r="N376" s="1"/>
      <c r="O376" s="2"/>
      <c r="P376" s="58"/>
      <c r="Q376" s="58"/>
      <c r="R376" s="58"/>
      <c r="S376" s="55"/>
      <c r="T376" s="36"/>
    </row>
    <row r="377" spans="1:20" s="37" customFormat="1" x14ac:dyDescent="0.25">
      <c r="A377" s="33"/>
      <c r="B377" s="54" t="str">
        <f t="shared" si="25"/>
        <v>K4B6</v>
      </c>
      <c r="C377" s="56" t="str">
        <f t="shared" si="26"/>
        <v>OBRA</v>
      </c>
      <c r="D377" s="56"/>
      <c r="E377" s="54" t="str">
        <f t="shared" si="27"/>
        <v/>
      </c>
      <c r="F377" s="22" t="str">
        <f t="shared" si="28"/>
        <v/>
      </c>
      <c r="G377" s="22" t="str">
        <f t="shared" si="29"/>
        <v/>
      </c>
      <c r="H377" s="49"/>
      <c r="I377" s="57" t="str">
        <f>IF(H377="","",MID(VLOOKUP(H377,Codigo_Material!$A$2:$C$9999,2,0),1,30))</f>
        <v/>
      </c>
      <c r="J377" s="57"/>
      <c r="K377" s="54" t="str">
        <f>IF(H377="","",MID(VLOOKUP(H377,Codigo_Material!$A$2:$C$6426,3,0),1,25))</f>
        <v/>
      </c>
      <c r="L377" s="19"/>
      <c r="M377" s="20"/>
      <c r="N377" s="1"/>
      <c r="O377" s="2"/>
      <c r="P377" s="58"/>
      <c r="Q377" s="58"/>
      <c r="R377" s="58"/>
      <c r="S377" s="55"/>
      <c r="T377" s="36"/>
    </row>
    <row r="378" spans="1:20" s="37" customFormat="1" x14ac:dyDescent="0.25">
      <c r="A378" s="33"/>
      <c r="B378" s="54" t="str">
        <f t="shared" si="25"/>
        <v>K4B6</v>
      </c>
      <c r="C378" s="56" t="str">
        <f t="shared" si="26"/>
        <v>OBRA</v>
      </c>
      <c r="D378" s="56"/>
      <c r="E378" s="54" t="str">
        <f t="shared" si="27"/>
        <v/>
      </c>
      <c r="F378" s="22" t="str">
        <f t="shared" si="28"/>
        <v/>
      </c>
      <c r="G378" s="22" t="str">
        <f t="shared" si="29"/>
        <v/>
      </c>
      <c r="H378" s="49"/>
      <c r="I378" s="57" t="str">
        <f>IF(H378="","",MID(VLOOKUP(H378,Codigo_Material!$A$2:$C$9999,2,0),1,30))</f>
        <v/>
      </c>
      <c r="J378" s="57"/>
      <c r="K378" s="54" t="str">
        <f>IF(H378="","",MID(VLOOKUP(H378,Codigo_Material!$A$2:$C$6426,3,0),1,25))</f>
        <v/>
      </c>
      <c r="L378" s="19"/>
      <c r="M378" s="20"/>
      <c r="N378" s="1"/>
      <c r="O378" s="2"/>
      <c r="P378" s="58"/>
      <c r="Q378" s="58"/>
      <c r="R378" s="58"/>
      <c r="S378" s="55"/>
      <c r="T378" s="36"/>
    </row>
    <row r="379" spans="1:20" s="37" customFormat="1" x14ac:dyDescent="0.25">
      <c r="A379" s="33"/>
      <c r="B379" s="54" t="str">
        <f t="shared" si="25"/>
        <v>K4B6</v>
      </c>
      <c r="C379" s="56" t="str">
        <f t="shared" si="26"/>
        <v>OBRA</v>
      </c>
      <c r="D379" s="56"/>
      <c r="E379" s="54" t="str">
        <f t="shared" si="27"/>
        <v/>
      </c>
      <c r="F379" s="22" t="str">
        <f t="shared" si="28"/>
        <v/>
      </c>
      <c r="G379" s="22" t="str">
        <f t="shared" si="29"/>
        <v/>
      </c>
      <c r="H379" s="49"/>
      <c r="I379" s="57" t="str">
        <f>IF(H379="","",MID(VLOOKUP(H379,Codigo_Material!$A$2:$C$9999,2,0),1,30))</f>
        <v/>
      </c>
      <c r="J379" s="57"/>
      <c r="K379" s="54" t="str">
        <f>IF(H379="","",MID(VLOOKUP(H379,Codigo_Material!$A$2:$C$6426,3,0),1,25))</f>
        <v/>
      </c>
      <c r="L379" s="19"/>
      <c r="M379" s="20"/>
      <c r="N379" s="1"/>
      <c r="O379" s="2"/>
      <c r="P379" s="58"/>
      <c r="Q379" s="58"/>
      <c r="R379" s="58"/>
      <c r="S379" s="55"/>
      <c r="T379" s="36"/>
    </row>
    <row r="380" spans="1:20" s="37" customFormat="1" x14ac:dyDescent="0.25">
      <c r="A380" s="33"/>
      <c r="B380" s="54" t="str">
        <f t="shared" si="25"/>
        <v>K4B6</v>
      </c>
      <c r="C380" s="56" t="str">
        <f t="shared" si="26"/>
        <v>OBRA</v>
      </c>
      <c r="D380" s="56"/>
      <c r="E380" s="54" t="str">
        <f t="shared" si="27"/>
        <v/>
      </c>
      <c r="F380" s="22" t="str">
        <f t="shared" si="28"/>
        <v/>
      </c>
      <c r="G380" s="22" t="str">
        <f t="shared" si="29"/>
        <v/>
      </c>
      <c r="H380" s="49"/>
      <c r="I380" s="57" t="str">
        <f>IF(H380="","",MID(VLOOKUP(H380,Codigo_Material!$A$2:$C$9999,2,0),1,30))</f>
        <v/>
      </c>
      <c r="J380" s="57"/>
      <c r="K380" s="54" t="str">
        <f>IF(H380="","",MID(VLOOKUP(H380,Codigo_Material!$A$2:$C$6426,3,0),1,25))</f>
        <v/>
      </c>
      <c r="L380" s="19"/>
      <c r="M380" s="20"/>
      <c r="N380" s="1"/>
      <c r="O380" s="2"/>
      <c r="P380" s="58"/>
      <c r="Q380" s="58"/>
      <c r="R380" s="58"/>
      <c r="S380" s="55"/>
      <c r="T380" s="36"/>
    </row>
    <row r="381" spans="1:20" s="37" customFormat="1" x14ac:dyDescent="0.25">
      <c r="A381" s="33"/>
      <c r="B381" s="54" t="str">
        <f t="shared" si="25"/>
        <v>K4B6</v>
      </c>
      <c r="C381" s="56" t="str">
        <f t="shared" si="26"/>
        <v>OBRA</v>
      </c>
      <c r="D381" s="56"/>
      <c r="E381" s="54" t="str">
        <f t="shared" si="27"/>
        <v/>
      </c>
      <c r="F381" s="22" t="str">
        <f t="shared" si="28"/>
        <v/>
      </c>
      <c r="G381" s="22" t="str">
        <f t="shared" si="29"/>
        <v/>
      </c>
      <c r="H381" s="49"/>
      <c r="I381" s="57" t="str">
        <f>IF(H381="","",MID(VLOOKUP(H381,Codigo_Material!$A$2:$C$9999,2,0),1,30))</f>
        <v/>
      </c>
      <c r="J381" s="57"/>
      <c r="K381" s="54" t="str">
        <f>IF(H381="","",MID(VLOOKUP(H381,Codigo_Material!$A$2:$C$6426,3,0),1,25))</f>
        <v/>
      </c>
      <c r="L381" s="19"/>
      <c r="M381" s="20"/>
      <c r="N381" s="1"/>
      <c r="O381" s="2"/>
      <c r="P381" s="58"/>
      <c r="Q381" s="58"/>
      <c r="R381" s="58"/>
      <c r="S381" s="55"/>
      <c r="T381" s="36"/>
    </row>
    <row r="382" spans="1:20" s="37" customFormat="1" x14ac:dyDescent="0.25">
      <c r="A382" s="33"/>
      <c r="B382" s="54" t="str">
        <f t="shared" si="25"/>
        <v>K4B6</v>
      </c>
      <c r="C382" s="56" t="str">
        <f t="shared" si="26"/>
        <v>OBRA</v>
      </c>
      <c r="D382" s="56"/>
      <c r="E382" s="54" t="str">
        <f t="shared" si="27"/>
        <v/>
      </c>
      <c r="F382" s="22" t="str">
        <f t="shared" si="28"/>
        <v/>
      </c>
      <c r="G382" s="22" t="str">
        <f t="shared" si="29"/>
        <v/>
      </c>
      <c r="H382" s="49"/>
      <c r="I382" s="57" t="str">
        <f>IF(H382="","",MID(VLOOKUP(H382,Codigo_Material!$A$2:$C$9999,2,0),1,30))</f>
        <v/>
      </c>
      <c r="J382" s="57"/>
      <c r="K382" s="54" t="str">
        <f>IF(H382="","",MID(VLOOKUP(H382,Codigo_Material!$A$2:$C$6426,3,0),1,25))</f>
        <v/>
      </c>
      <c r="L382" s="19"/>
      <c r="M382" s="20"/>
      <c r="N382" s="1"/>
      <c r="O382" s="2"/>
      <c r="P382" s="58"/>
      <c r="Q382" s="58"/>
      <c r="R382" s="58"/>
      <c r="S382" s="55"/>
      <c r="T382" s="36"/>
    </row>
    <row r="383" spans="1:20" s="37" customFormat="1" x14ac:dyDescent="0.25">
      <c r="A383" s="33"/>
      <c r="B383" s="54" t="str">
        <f t="shared" si="25"/>
        <v>K4B6</v>
      </c>
      <c r="C383" s="56" t="str">
        <f t="shared" si="26"/>
        <v>OBRA</v>
      </c>
      <c r="D383" s="56"/>
      <c r="E383" s="54" t="str">
        <f t="shared" si="27"/>
        <v/>
      </c>
      <c r="F383" s="22" t="str">
        <f t="shared" si="28"/>
        <v/>
      </c>
      <c r="G383" s="22" t="str">
        <f t="shared" si="29"/>
        <v/>
      </c>
      <c r="H383" s="49"/>
      <c r="I383" s="57" t="str">
        <f>IF(H383="","",MID(VLOOKUP(H383,Codigo_Material!$A$2:$C$9999,2,0),1,30))</f>
        <v/>
      </c>
      <c r="J383" s="57"/>
      <c r="K383" s="54" t="str">
        <f>IF(H383="","",MID(VLOOKUP(H383,Codigo_Material!$A$2:$C$6426,3,0),1,25))</f>
        <v/>
      </c>
      <c r="L383" s="19"/>
      <c r="M383" s="20"/>
      <c r="N383" s="1"/>
      <c r="O383" s="2"/>
      <c r="P383" s="58"/>
      <c r="Q383" s="58"/>
      <c r="R383" s="58"/>
      <c r="S383" s="55"/>
      <c r="T383" s="36"/>
    </row>
    <row r="384" spans="1:20" s="37" customFormat="1" x14ac:dyDescent="0.25">
      <c r="A384" s="33"/>
      <c r="B384" s="54" t="str">
        <f t="shared" si="25"/>
        <v>K4B6</v>
      </c>
      <c r="C384" s="56" t="str">
        <f t="shared" si="26"/>
        <v>OBRA</v>
      </c>
      <c r="D384" s="56"/>
      <c r="E384" s="54" t="str">
        <f t="shared" si="27"/>
        <v/>
      </c>
      <c r="F384" s="22" t="str">
        <f t="shared" si="28"/>
        <v/>
      </c>
      <c r="G384" s="22" t="str">
        <f t="shared" si="29"/>
        <v/>
      </c>
      <c r="H384" s="49"/>
      <c r="I384" s="57" t="str">
        <f>IF(H384="","",MID(VLOOKUP(H384,Codigo_Material!$A$2:$C$9999,2,0),1,30))</f>
        <v/>
      </c>
      <c r="J384" s="57"/>
      <c r="K384" s="54" t="str">
        <f>IF(H384="","",MID(VLOOKUP(H384,Codigo_Material!$A$2:$C$6426,3,0),1,25))</f>
        <v/>
      </c>
      <c r="L384" s="19"/>
      <c r="M384" s="20"/>
      <c r="N384" s="1"/>
      <c r="O384" s="2"/>
      <c r="P384" s="58"/>
      <c r="Q384" s="58"/>
      <c r="R384" s="58"/>
      <c r="S384" s="55"/>
      <c r="T384" s="36"/>
    </row>
    <row r="385" spans="1:20" s="37" customFormat="1" x14ac:dyDescent="0.25">
      <c r="A385" s="33"/>
      <c r="B385" s="54" t="str">
        <f t="shared" si="25"/>
        <v>K4B6</v>
      </c>
      <c r="C385" s="56" t="str">
        <f t="shared" si="26"/>
        <v>OBRA</v>
      </c>
      <c r="D385" s="56"/>
      <c r="E385" s="54" t="str">
        <f t="shared" si="27"/>
        <v/>
      </c>
      <c r="F385" s="22" t="str">
        <f t="shared" si="28"/>
        <v/>
      </c>
      <c r="G385" s="22" t="str">
        <f t="shared" si="29"/>
        <v/>
      </c>
      <c r="H385" s="49"/>
      <c r="I385" s="57" t="str">
        <f>IF(H385="","",MID(VLOOKUP(H385,Codigo_Material!$A$2:$C$9999,2,0),1,30))</f>
        <v/>
      </c>
      <c r="J385" s="57"/>
      <c r="K385" s="54" t="str">
        <f>IF(H385="","",MID(VLOOKUP(H385,Codigo_Material!$A$2:$C$6426,3,0),1,25))</f>
        <v/>
      </c>
      <c r="L385" s="19"/>
      <c r="M385" s="20"/>
      <c r="N385" s="1"/>
      <c r="O385" s="2"/>
      <c r="P385" s="58"/>
      <c r="Q385" s="58"/>
      <c r="R385" s="58"/>
      <c r="S385" s="55"/>
      <c r="T385" s="36"/>
    </row>
    <row r="386" spans="1:20" s="37" customFormat="1" x14ac:dyDescent="0.25">
      <c r="A386" s="33"/>
      <c r="B386" s="54" t="str">
        <f t="shared" si="25"/>
        <v>K4B6</v>
      </c>
      <c r="C386" s="56" t="str">
        <f t="shared" si="26"/>
        <v>OBRA</v>
      </c>
      <c r="D386" s="56"/>
      <c r="E386" s="54" t="str">
        <f t="shared" si="27"/>
        <v/>
      </c>
      <c r="F386" s="22" t="str">
        <f t="shared" si="28"/>
        <v/>
      </c>
      <c r="G386" s="22" t="str">
        <f t="shared" si="29"/>
        <v/>
      </c>
      <c r="H386" s="49"/>
      <c r="I386" s="57" t="str">
        <f>IF(H386="","",MID(VLOOKUP(H386,Codigo_Material!$A$2:$C$9999,2,0),1,30))</f>
        <v/>
      </c>
      <c r="J386" s="57"/>
      <c r="K386" s="54" t="str">
        <f>IF(H386="","",MID(VLOOKUP(H386,Codigo_Material!$A$2:$C$6426,3,0),1,25))</f>
        <v/>
      </c>
      <c r="L386" s="19"/>
      <c r="M386" s="20"/>
      <c r="N386" s="1"/>
      <c r="O386" s="2"/>
      <c r="P386" s="58"/>
      <c r="Q386" s="58"/>
      <c r="R386" s="58"/>
      <c r="S386" s="55"/>
      <c r="T386" s="36"/>
    </row>
    <row r="387" spans="1:20" s="37" customFormat="1" x14ac:dyDescent="0.25">
      <c r="A387" s="33"/>
      <c r="B387" s="54" t="str">
        <f t="shared" si="25"/>
        <v>K4B6</v>
      </c>
      <c r="C387" s="56" t="str">
        <f t="shared" si="26"/>
        <v>OBRA</v>
      </c>
      <c r="D387" s="56"/>
      <c r="E387" s="54" t="str">
        <f t="shared" si="27"/>
        <v/>
      </c>
      <c r="F387" s="22" t="str">
        <f t="shared" si="28"/>
        <v/>
      </c>
      <c r="G387" s="22" t="str">
        <f t="shared" si="29"/>
        <v/>
      </c>
      <c r="H387" s="49"/>
      <c r="I387" s="57" t="str">
        <f>IF(H387="","",MID(VLOOKUP(H387,Codigo_Material!$A$2:$C$9999,2,0),1,30))</f>
        <v/>
      </c>
      <c r="J387" s="57"/>
      <c r="K387" s="54" t="str">
        <f>IF(H387="","",MID(VLOOKUP(H387,Codigo_Material!$A$2:$C$6426,3,0),1,25))</f>
        <v/>
      </c>
      <c r="L387" s="19"/>
      <c r="M387" s="20"/>
      <c r="N387" s="1"/>
      <c r="O387" s="2"/>
      <c r="P387" s="58"/>
      <c r="Q387" s="58"/>
      <c r="R387" s="58"/>
      <c r="S387" s="55"/>
      <c r="T387" s="36"/>
    </row>
    <row r="388" spans="1:20" s="37" customFormat="1" x14ac:dyDescent="0.25">
      <c r="A388" s="33"/>
      <c r="B388" s="54" t="str">
        <f t="shared" si="25"/>
        <v>K4B6</v>
      </c>
      <c r="C388" s="56" t="str">
        <f t="shared" si="26"/>
        <v>OBRA</v>
      </c>
      <c r="D388" s="56"/>
      <c r="E388" s="54" t="str">
        <f t="shared" si="27"/>
        <v/>
      </c>
      <c r="F388" s="22" t="str">
        <f t="shared" si="28"/>
        <v/>
      </c>
      <c r="G388" s="22" t="str">
        <f t="shared" si="29"/>
        <v/>
      </c>
      <c r="H388" s="49"/>
      <c r="I388" s="57" t="str">
        <f>IF(H388="","",MID(VLOOKUP(H388,Codigo_Material!$A$2:$C$9999,2,0),1,30))</f>
        <v/>
      </c>
      <c r="J388" s="57"/>
      <c r="K388" s="54" t="str">
        <f>IF(H388="","",MID(VLOOKUP(H388,Codigo_Material!$A$2:$C$6426,3,0),1,25))</f>
        <v/>
      </c>
      <c r="L388" s="19"/>
      <c r="M388" s="20"/>
      <c r="N388" s="1"/>
      <c r="O388" s="2"/>
      <c r="P388" s="58"/>
      <c r="Q388" s="58"/>
      <c r="R388" s="58"/>
      <c r="S388" s="55"/>
      <c r="T388" s="36"/>
    </row>
    <row r="389" spans="1:20" s="37" customFormat="1" x14ac:dyDescent="0.25">
      <c r="A389" s="33"/>
      <c r="B389" s="54" t="str">
        <f t="shared" si="25"/>
        <v>K4B6</v>
      </c>
      <c r="C389" s="56" t="str">
        <f t="shared" si="26"/>
        <v>OBRA</v>
      </c>
      <c r="D389" s="56"/>
      <c r="E389" s="54" t="str">
        <f t="shared" si="27"/>
        <v/>
      </c>
      <c r="F389" s="22" t="str">
        <f t="shared" si="28"/>
        <v/>
      </c>
      <c r="G389" s="22" t="str">
        <f t="shared" si="29"/>
        <v/>
      </c>
      <c r="H389" s="49"/>
      <c r="I389" s="57" t="str">
        <f>IF(H389="","",MID(VLOOKUP(H389,Codigo_Material!$A$2:$C$9999,2,0),1,30))</f>
        <v/>
      </c>
      <c r="J389" s="57"/>
      <c r="K389" s="54" t="str">
        <f>IF(H389="","",MID(VLOOKUP(H389,Codigo_Material!$A$2:$C$6426,3,0),1,25))</f>
        <v/>
      </c>
      <c r="L389" s="19"/>
      <c r="M389" s="20"/>
      <c r="N389" s="1"/>
      <c r="O389" s="2"/>
      <c r="P389" s="58"/>
      <c r="Q389" s="58"/>
      <c r="R389" s="58"/>
      <c r="S389" s="55"/>
      <c r="T389" s="36"/>
    </row>
    <row r="390" spans="1:20" s="37" customFormat="1" x14ac:dyDescent="0.25">
      <c r="A390" s="33"/>
      <c r="B390" s="54" t="str">
        <f t="shared" si="25"/>
        <v>K4B6</v>
      </c>
      <c r="C390" s="56" t="str">
        <f t="shared" si="26"/>
        <v>OBRA</v>
      </c>
      <c r="D390" s="56"/>
      <c r="E390" s="54" t="str">
        <f t="shared" si="27"/>
        <v/>
      </c>
      <c r="F390" s="22" t="str">
        <f t="shared" si="28"/>
        <v/>
      </c>
      <c r="G390" s="22" t="str">
        <f t="shared" si="29"/>
        <v/>
      </c>
      <c r="H390" s="49"/>
      <c r="I390" s="57" t="str">
        <f>IF(H390="","",MID(VLOOKUP(H390,Codigo_Material!$A$2:$C$9999,2,0),1,30))</f>
        <v/>
      </c>
      <c r="J390" s="57"/>
      <c r="K390" s="54" t="str">
        <f>IF(H390="","",MID(VLOOKUP(H390,Codigo_Material!$A$2:$C$6426,3,0),1,25))</f>
        <v/>
      </c>
      <c r="L390" s="19"/>
      <c r="M390" s="20"/>
      <c r="N390" s="1"/>
      <c r="O390" s="2"/>
      <c r="P390" s="58"/>
      <c r="Q390" s="58"/>
      <c r="R390" s="58"/>
      <c r="S390" s="55"/>
      <c r="T390" s="36"/>
    </row>
    <row r="391" spans="1:20" s="37" customFormat="1" x14ac:dyDescent="0.25">
      <c r="A391" s="33"/>
      <c r="B391" s="54" t="str">
        <f t="shared" si="25"/>
        <v>K4B6</v>
      </c>
      <c r="C391" s="56" t="str">
        <f t="shared" si="26"/>
        <v>OBRA</v>
      </c>
      <c r="D391" s="56"/>
      <c r="E391" s="54" t="str">
        <f t="shared" si="27"/>
        <v/>
      </c>
      <c r="F391" s="22" t="str">
        <f t="shared" si="28"/>
        <v/>
      </c>
      <c r="G391" s="22" t="str">
        <f t="shared" si="29"/>
        <v/>
      </c>
      <c r="H391" s="49"/>
      <c r="I391" s="57" t="str">
        <f>IF(H391="","",MID(VLOOKUP(H391,Codigo_Material!$A$2:$C$9999,2,0),1,30))</f>
        <v/>
      </c>
      <c r="J391" s="57"/>
      <c r="K391" s="54" t="str">
        <f>IF(H391="","",MID(VLOOKUP(H391,Codigo_Material!$A$2:$C$6426,3,0),1,25))</f>
        <v/>
      </c>
      <c r="L391" s="19"/>
      <c r="M391" s="20"/>
      <c r="N391" s="1"/>
      <c r="O391" s="2"/>
      <c r="P391" s="58"/>
      <c r="Q391" s="58"/>
      <c r="R391" s="58"/>
      <c r="S391" s="55"/>
      <c r="T391" s="36"/>
    </row>
    <row r="392" spans="1:20" s="37" customFormat="1" x14ac:dyDescent="0.25">
      <c r="A392" s="33"/>
      <c r="B392" s="54" t="str">
        <f t="shared" si="25"/>
        <v>K4B6</v>
      </c>
      <c r="C392" s="56" t="str">
        <f t="shared" si="26"/>
        <v>OBRA</v>
      </c>
      <c r="D392" s="56"/>
      <c r="E392" s="54" t="str">
        <f t="shared" si="27"/>
        <v/>
      </c>
      <c r="F392" s="22" t="str">
        <f t="shared" si="28"/>
        <v/>
      </c>
      <c r="G392" s="22" t="str">
        <f t="shared" si="29"/>
        <v/>
      </c>
      <c r="H392" s="49"/>
      <c r="I392" s="57" t="str">
        <f>IF(H392="","",MID(VLOOKUP(H392,Codigo_Material!$A$2:$C$9999,2,0),1,30))</f>
        <v/>
      </c>
      <c r="J392" s="57"/>
      <c r="K392" s="54" t="str">
        <f>IF(H392="","",MID(VLOOKUP(H392,Codigo_Material!$A$2:$C$6426,3,0),1,25))</f>
        <v/>
      </c>
      <c r="L392" s="19"/>
      <c r="M392" s="20"/>
      <c r="N392" s="1"/>
      <c r="O392" s="2"/>
      <c r="P392" s="58"/>
      <c r="Q392" s="58"/>
      <c r="R392" s="58"/>
      <c r="S392" s="55"/>
      <c r="T392" s="36"/>
    </row>
    <row r="393" spans="1:20" s="37" customFormat="1" x14ac:dyDescent="0.25">
      <c r="A393" s="33"/>
      <c r="B393" s="54" t="str">
        <f t="shared" si="25"/>
        <v>K4B6</v>
      </c>
      <c r="C393" s="56" t="str">
        <f t="shared" si="26"/>
        <v>OBRA</v>
      </c>
      <c r="D393" s="56"/>
      <c r="E393" s="54" t="str">
        <f t="shared" si="27"/>
        <v/>
      </c>
      <c r="F393" s="22" t="str">
        <f t="shared" si="28"/>
        <v/>
      </c>
      <c r="G393" s="22" t="str">
        <f t="shared" si="29"/>
        <v/>
      </c>
      <c r="H393" s="49"/>
      <c r="I393" s="57" t="str">
        <f>IF(H393="","",MID(VLOOKUP(H393,Codigo_Material!$A$2:$C$9999,2,0),1,30))</f>
        <v/>
      </c>
      <c r="J393" s="57"/>
      <c r="K393" s="54" t="str">
        <f>IF(H393="","",MID(VLOOKUP(H393,Codigo_Material!$A$2:$C$6426,3,0),1,25))</f>
        <v/>
      </c>
      <c r="L393" s="19"/>
      <c r="M393" s="20"/>
      <c r="N393" s="1"/>
      <c r="O393" s="2"/>
      <c r="P393" s="58"/>
      <c r="Q393" s="58"/>
      <c r="R393" s="58"/>
      <c r="S393" s="55"/>
      <c r="T393" s="36"/>
    </row>
    <row r="394" spans="1:20" s="37" customFormat="1" x14ac:dyDescent="0.25">
      <c r="A394" s="33"/>
      <c r="B394" s="54" t="str">
        <f t="shared" si="25"/>
        <v>K4B6</v>
      </c>
      <c r="C394" s="56" t="str">
        <f t="shared" si="26"/>
        <v>OBRA</v>
      </c>
      <c r="D394" s="56"/>
      <c r="E394" s="54" t="str">
        <f t="shared" si="27"/>
        <v/>
      </c>
      <c r="F394" s="22" t="str">
        <f t="shared" si="28"/>
        <v/>
      </c>
      <c r="G394" s="22" t="str">
        <f t="shared" si="29"/>
        <v/>
      </c>
      <c r="H394" s="49"/>
      <c r="I394" s="57" t="str">
        <f>IF(H394="","",MID(VLOOKUP(H394,Codigo_Material!$A$2:$C$9999,2,0),1,30))</f>
        <v/>
      </c>
      <c r="J394" s="57"/>
      <c r="K394" s="54" t="str">
        <f>IF(H394="","",MID(VLOOKUP(H394,Codigo_Material!$A$2:$C$6426,3,0),1,25))</f>
        <v/>
      </c>
      <c r="L394" s="19"/>
      <c r="M394" s="20"/>
      <c r="N394" s="1"/>
      <c r="O394" s="2"/>
      <c r="P394" s="58"/>
      <c r="Q394" s="58"/>
      <c r="R394" s="58"/>
      <c r="S394" s="55"/>
      <c r="T394" s="36"/>
    </row>
    <row r="395" spans="1:20" s="37" customFormat="1" x14ac:dyDescent="0.25">
      <c r="A395" s="33"/>
      <c r="B395" s="54" t="str">
        <f t="shared" ref="B395:B458" si="30">IF($D$5="","",$D$5)</f>
        <v>K4B6</v>
      </c>
      <c r="C395" s="56" t="str">
        <f t="shared" ref="C395:C458" si="31">IF($F$5="","",$F$5)</f>
        <v>OBRA</v>
      </c>
      <c r="D395" s="56"/>
      <c r="E395" s="54" t="str">
        <f t="shared" ref="E395:E458" si="32">IF($H$5="","",$H$5)</f>
        <v/>
      </c>
      <c r="F395" s="22" t="str">
        <f t="shared" ref="F395:F458" si="33">IF($P$7="","",$P$7)</f>
        <v/>
      </c>
      <c r="G395" s="22" t="str">
        <f t="shared" ref="G395:G458" si="34">IF($K$7="","",$K$7)</f>
        <v/>
      </c>
      <c r="H395" s="49"/>
      <c r="I395" s="57" t="str">
        <f>IF(H395="","",MID(VLOOKUP(H395,Codigo_Material!$A$2:$C$9999,2,0),1,30))</f>
        <v/>
      </c>
      <c r="J395" s="57"/>
      <c r="K395" s="54" t="str">
        <f>IF(H395="","",MID(VLOOKUP(H395,Codigo_Material!$A$2:$C$6426,3,0),1,25))</f>
        <v/>
      </c>
      <c r="L395" s="19"/>
      <c r="M395" s="20"/>
      <c r="N395" s="1"/>
      <c r="O395" s="2"/>
      <c r="P395" s="58"/>
      <c r="Q395" s="58"/>
      <c r="R395" s="58"/>
      <c r="S395" s="55"/>
      <c r="T395" s="36"/>
    </row>
    <row r="396" spans="1:20" s="37" customFormat="1" x14ac:dyDescent="0.25">
      <c r="A396" s="33"/>
      <c r="B396" s="54" t="str">
        <f t="shared" si="30"/>
        <v>K4B6</v>
      </c>
      <c r="C396" s="56" t="str">
        <f t="shared" si="31"/>
        <v>OBRA</v>
      </c>
      <c r="D396" s="56"/>
      <c r="E396" s="54" t="str">
        <f t="shared" si="32"/>
        <v/>
      </c>
      <c r="F396" s="22" t="str">
        <f t="shared" si="33"/>
        <v/>
      </c>
      <c r="G396" s="22" t="str">
        <f t="shared" si="34"/>
        <v/>
      </c>
      <c r="H396" s="49"/>
      <c r="I396" s="57" t="str">
        <f>IF(H396="","",MID(VLOOKUP(H396,Codigo_Material!$A$2:$C$9999,2,0),1,30))</f>
        <v/>
      </c>
      <c r="J396" s="57"/>
      <c r="K396" s="54" t="str">
        <f>IF(H396="","",MID(VLOOKUP(H396,Codigo_Material!$A$2:$C$6426,3,0),1,25))</f>
        <v/>
      </c>
      <c r="L396" s="19"/>
      <c r="M396" s="20"/>
      <c r="N396" s="1"/>
      <c r="O396" s="2"/>
      <c r="P396" s="58"/>
      <c r="Q396" s="58"/>
      <c r="R396" s="58"/>
      <c r="S396" s="55"/>
      <c r="T396" s="36"/>
    </row>
    <row r="397" spans="1:20" s="37" customFormat="1" x14ac:dyDescent="0.25">
      <c r="A397" s="33"/>
      <c r="B397" s="54" t="str">
        <f t="shared" si="30"/>
        <v>K4B6</v>
      </c>
      <c r="C397" s="56" t="str">
        <f t="shared" si="31"/>
        <v>OBRA</v>
      </c>
      <c r="D397" s="56"/>
      <c r="E397" s="54" t="str">
        <f t="shared" si="32"/>
        <v/>
      </c>
      <c r="F397" s="22" t="str">
        <f t="shared" si="33"/>
        <v/>
      </c>
      <c r="G397" s="22" t="str">
        <f t="shared" si="34"/>
        <v/>
      </c>
      <c r="H397" s="49"/>
      <c r="I397" s="57" t="str">
        <f>IF(H397="","",MID(VLOOKUP(H397,Codigo_Material!$A$2:$C$9999,2,0),1,30))</f>
        <v/>
      </c>
      <c r="J397" s="57"/>
      <c r="K397" s="54" t="str">
        <f>IF(H397="","",MID(VLOOKUP(H397,Codigo_Material!$A$2:$C$6426,3,0),1,25))</f>
        <v/>
      </c>
      <c r="L397" s="19"/>
      <c r="M397" s="20"/>
      <c r="N397" s="1"/>
      <c r="O397" s="2"/>
      <c r="P397" s="58"/>
      <c r="Q397" s="58"/>
      <c r="R397" s="58"/>
      <c r="S397" s="55"/>
      <c r="T397" s="36"/>
    </row>
    <row r="398" spans="1:20" s="37" customFormat="1" x14ac:dyDescent="0.25">
      <c r="A398" s="33"/>
      <c r="B398" s="54" t="str">
        <f t="shared" si="30"/>
        <v>K4B6</v>
      </c>
      <c r="C398" s="56" t="str">
        <f t="shared" si="31"/>
        <v>OBRA</v>
      </c>
      <c r="D398" s="56"/>
      <c r="E398" s="54" t="str">
        <f t="shared" si="32"/>
        <v/>
      </c>
      <c r="F398" s="22" t="str">
        <f t="shared" si="33"/>
        <v/>
      </c>
      <c r="G398" s="22" t="str">
        <f t="shared" si="34"/>
        <v/>
      </c>
      <c r="H398" s="49"/>
      <c r="I398" s="57" t="str">
        <f>IF(H398="","",MID(VLOOKUP(H398,Codigo_Material!$A$2:$C$9999,2,0),1,30))</f>
        <v/>
      </c>
      <c r="J398" s="57"/>
      <c r="K398" s="54" t="str">
        <f>IF(H398="","",MID(VLOOKUP(H398,Codigo_Material!$A$2:$C$6426,3,0),1,25))</f>
        <v/>
      </c>
      <c r="L398" s="19"/>
      <c r="M398" s="20"/>
      <c r="N398" s="1"/>
      <c r="O398" s="2"/>
      <c r="P398" s="58"/>
      <c r="Q398" s="58"/>
      <c r="R398" s="58"/>
      <c r="S398" s="55"/>
      <c r="T398" s="36"/>
    </row>
    <row r="399" spans="1:20" s="37" customFormat="1" x14ac:dyDescent="0.25">
      <c r="A399" s="33"/>
      <c r="B399" s="54" t="str">
        <f t="shared" si="30"/>
        <v>K4B6</v>
      </c>
      <c r="C399" s="56" t="str">
        <f t="shared" si="31"/>
        <v>OBRA</v>
      </c>
      <c r="D399" s="56"/>
      <c r="E399" s="54" t="str">
        <f t="shared" si="32"/>
        <v/>
      </c>
      <c r="F399" s="22" t="str">
        <f t="shared" si="33"/>
        <v/>
      </c>
      <c r="G399" s="22" t="str">
        <f t="shared" si="34"/>
        <v/>
      </c>
      <c r="H399" s="49"/>
      <c r="I399" s="57" t="str">
        <f>IF(H399="","",MID(VLOOKUP(H399,Codigo_Material!$A$2:$C$9999,2,0),1,30))</f>
        <v/>
      </c>
      <c r="J399" s="57"/>
      <c r="K399" s="54" t="str">
        <f>IF(H399="","",MID(VLOOKUP(H399,Codigo_Material!$A$2:$C$6426,3,0),1,25))</f>
        <v/>
      </c>
      <c r="L399" s="19"/>
      <c r="M399" s="20"/>
      <c r="N399" s="1"/>
      <c r="O399" s="2"/>
      <c r="P399" s="58"/>
      <c r="Q399" s="58"/>
      <c r="R399" s="58"/>
      <c r="S399" s="55"/>
      <c r="T399" s="36"/>
    </row>
    <row r="400" spans="1:20" s="37" customFormat="1" x14ac:dyDescent="0.25">
      <c r="A400" s="33"/>
      <c r="B400" s="54" t="str">
        <f t="shared" si="30"/>
        <v>K4B6</v>
      </c>
      <c r="C400" s="56" t="str">
        <f t="shared" si="31"/>
        <v>OBRA</v>
      </c>
      <c r="D400" s="56"/>
      <c r="E400" s="54" t="str">
        <f t="shared" si="32"/>
        <v/>
      </c>
      <c r="F400" s="22" t="str">
        <f t="shared" si="33"/>
        <v/>
      </c>
      <c r="G400" s="22" t="str">
        <f t="shared" si="34"/>
        <v/>
      </c>
      <c r="H400" s="49"/>
      <c r="I400" s="57" t="str">
        <f>IF(H400="","",MID(VLOOKUP(H400,Codigo_Material!$A$2:$C$9999,2,0),1,30))</f>
        <v/>
      </c>
      <c r="J400" s="57"/>
      <c r="K400" s="54" t="str">
        <f>IF(H400="","",MID(VLOOKUP(H400,Codigo_Material!$A$2:$C$6426,3,0),1,25))</f>
        <v/>
      </c>
      <c r="L400" s="19"/>
      <c r="M400" s="20"/>
      <c r="N400" s="1"/>
      <c r="O400" s="2"/>
      <c r="P400" s="58"/>
      <c r="Q400" s="58"/>
      <c r="R400" s="58"/>
      <c r="S400" s="55"/>
      <c r="T400" s="36"/>
    </row>
    <row r="401" spans="1:20" s="37" customFormat="1" x14ac:dyDescent="0.25">
      <c r="A401" s="33"/>
      <c r="B401" s="54" t="str">
        <f t="shared" si="30"/>
        <v>K4B6</v>
      </c>
      <c r="C401" s="56" t="str">
        <f t="shared" si="31"/>
        <v>OBRA</v>
      </c>
      <c r="D401" s="56"/>
      <c r="E401" s="54" t="str">
        <f t="shared" si="32"/>
        <v/>
      </c>
      <c r="F401" s="22" t="str">
        <f t="shared" si="33"/>
        <v/>
      </c>
      <c r="G401" s="22" t="str">
        <f t="shared" si="34"/>
        <v/>
      </c>
      <c r="H401" s="49"/>
      <c r="I401" s="57" t="str">
        <f>IF(H401="","",MID(VLOOKUP(H401,Codigo_Material!$A$2:$C$9999,2,0),1,30))</f>
        <v/>
      </c>
      <c r="J401" s="57"/>
      <c r="K401" s="54" t="str">
        <f>IF(H401="","",MID(VLOOKUP(H401,Codigo_Material!$A$2:$C$6426,3,0),1,25))</f>
        <v/>
      </c>
      <c r="L401" s="19"/>
      <c r="M401" s="20"/>
      <c r="N401" s="1"/>
      <c r="O401" s="2"/>
      <c r="P401" s="58"/>
      <c r="Q401" s="58"/>
      <c r="R401" s="58"/>
      <c r="S401" s="55"/>
      <c r="T401" s="36"/>
    </row>
    <row r="402" spans="1:20" s="37" customFormat="1" x14ac:dyDescent="0.25">
      <c r="A402" s="33"/>
      <c r="B402" s="54" t="str">
        <f t="shared" si="30"/>
        <v>K4B6</v>
      </c>
      <c r="C402" s="56" t="str">
        <f t="shared" si="31"/>
        <v>OBRA</v>
      </c>
      <c r="D402" s="56"/>
      <c r="E402" s="54" t="str">
        <f t="shared" si="32"/>
        <v/>
      </c>
      <c r="F402" s="22" t="str">
        <f t="shared" si="33"/>
        <v/>
      </c>
      <c r="G402" s="22" t="str">
        <f t="shared" si="34"/>
        <v/>
      </c>
      <c r="H402" s="49"/>
      <c r="I402" s="57" t="str">
        <f>IF(H402="","",MID(VLOOKUP(H402,Codigo_Material!$A$2:$C$9999,2,0),1,30))</f>
        <v/>
      </c>
      <c r="J402" s="57"/>
      <c r="K402" s="54" t="str">
        <f>IF(H402="","",MID(VLOOKUP(H402,Codigo_Material!$A$2:$C$6426,3,0),1,25))</f>
        <v/>
      </c>
      <c r="L402" s="19"/>
      <c r="M402" s="20"/>
      <c r="N402" s="1"/>
      <c r="O402" s="2"/>
      <c r="P402" s="58"/>
      <c r="Q402" s="58"/>
      <c r="R402" s="58"/>
      <c r="S402" s="55"/>
      <c r="T402" s="36"/>
    </row>
    <row r="403" spans="1:20" s="37" customFormat="1" x14ac:dyDescent="0.25">
      <c r="A403" s="33"/>
      <c r="B403" s="54" t="str">
        <f t="shared" si="30"/>
        <v>K4B6</v>
      </c>
      <c r="C403" s="56" t="str">
        <f t="shared" si="31"/>
        <v>OBRA</v>
      </c>
      <c r="D403" s="56"/>
      <c r="E403" s="54" t="str">
        <f t="shared" si="32"/>
        <v/>
      </c>
      <c r="F403" s="22" t="str">
        <f t="shared" si="33"/>
        <v/>
      </c>
      <c r="G403" s="22" t="str">
        <f t="shared" si="34"/>
        <v/>
      </c>
      <c r="H403" s="49"/>
      <c r="I403" s="57" t="str">
        <f>IF(H403="","",MID(VLOOKUP(H403,Codigo_Material!$A$2:$C$9999,2,0),1,30))</f>
        <v/>
      </c>
      <c r="J403" s="57"/>
      <c r="K403" s="54" t="str">
        <f>IF(H403="","",MID(VLOOKUP(H403,Codigo_Material!$A$2:$C$6426,3,0),1,25))</f>
        <v/>
      </c>
      <c r="L403" s="19"/>
      <c r="M403" s="20"/>
      <c r="N403" s="1"/>
      <c r="O403" s="2"/>
      <c r="P403" s="58"/>
      <c r="Q403" s="58"/>
      <c r="R403" s="58"/>
      <c r="S403" s="55"/>
      <c r="T403" s="36"/>
    </row>
    <row r="404" spans="1:20" s="37" customFormat="1" x14ac:dyDescent="0.25">
      <c r="A404" s="33"/>
      <c r="B404" s="54" t="str">
        <f t="shared" si="30"/>
        <v>K4B6</v>
      </c>
      <c r="C404" s="56" t="str">
        <f t="shared" si="31"/>
        <v>OBRA</v>
      </c>
      <c r="D404" s="56"/>
      <c r="E404" s="54" t="str">
        <f t="shared" si="32"/>
        <v/>
      </c>
      <c r="F404" s="22" t="str">
        <f t="shared" si="33"/>
        <v/>
      </c>
      <c r="G404" s="22" t="str">
        <f t="shared" si="34"/>
        <v/>
      </c>
      <c r="H404" s="49"/>
      <c r="I404" s="57" t="str">
        <f>IF(H404="","",MID(VLOOKUP(H404,Codigo_Material!$A$2:$C$9999,2,0),1,30))</f>
        <v/>
      </c>
      <c r="J404" s="57"/>
      <c r="K404" s="54" t="str">
        <f>IF(H404="","",MID(VLOOKUP(H404,Codigo_Material!$A$2:$C$6426,3,0),1,25))</f>
        <v/>
      </c>
      <c r="L404" s="19"/>
      <c r="M404" s="20"/>
      <c r="N404" s="1"/>
      <c r="O404" s="2"/>
      <c r="P404" s="58"/>
      <c r="Q404" s="58"/>
      <c r="R404" s="58"/>
      <c r="S404" s="55"/>
      <c r="T404" s="36"/>
    </row>
    <row r="405" spans="1:20" s="37" customFormat="1" x14ac:dyDescent="0.25">
      <c r="A405" s="33"/>
      <c r="B405" s="54" t="str">
        <f t="shared" si="30"/>
        <v>K4B6</v>
      </c>
      <c r="C405" s="56" t="str">
        <f t="shared" si="31"/>
        <v>OBRA</v>
      </c>
      <c r="D405" s="56"/>
      <c r="E405" s="54" t="str">
        <f t="shared" si="32"/>
        <v/>
      </c>
      <c r="F405" s="22" t="str">
        <f t="shared" si="33"/>
        <v/>
      </c>
      <c r="G405" s="22" t="str">
        <f t="shared" si="34"/>
        <v/>
      </c>
      <c r="H405" s="49"/>
      <c r="I405" s="57" t="str">
        <f>IF(H405="","",MID(VLOOKUP(H405,Codigo_Material!$A$2:$C$9999,2,0),1,30))</f>
        <v/>
      </c>
      <c r="J405" s="57"/>
      <c r="K405" s="54" t="str">
        <f>IF(H405="","",MID(VLOOKUP(H405,Codigo_Material!$A$2:$C$6426,3,0),1,25))</f>
        <v/>
      </c>
      <c r="L405" s="19"/>
      <c r="M405" s="20"/>
      <c r="N405" s="1"/>
      <c r="O405" s="2"/>
      <c r="P405" s="58"/>
      <c r="Q405" s="58"/>
      <c r="R405" s="58"/>
      <c r="S405" s="55"/>
      <c r="T405" s="36"/>
    </row>
    <row r="406" spans="1:20" s="37" customFormat="1" x14ac:dyDescent="0.25">
      <c r="A406" s="33"/>
      <c r="B406" s="54" t="str">
        <f t="shared" si="30"/>
        <v>K4B6</v>
      </c>
      <c r="C406" s="56" t="str">
        <f t="shared" si="31"/>
        <v>OBRA</v>
      </c>
      <c r="D406" s="56"/>
      <c r="E406" s="54" t="str">
        <f t="shared" si="32"/>
        <v/>
      </c>
      <c r="F406" s="22" t="str">
        <f t="shared" si="33"/>
        <v/>
      </c>
      <c r="G406" s="22" t="str">
        <f t="shared" si="34"/>
        <v/>
      </c>
      <c r="H406" s="49"/>
      <c r="I406" s="57" t="str">
        <f>IF(H406="","",MID(VLOOKUP(H406,Codigo_Material!$A$2:$C$9999,2,0),1,30))</f>
        <v/>
      </c>
      <c r="J406" s="57"/>
      <c r="K406" s="54" t="str">
        <f>IF(H406="","",MID(VLOOKUP(H406,Codigo_Material!$A$2:$C$6426,3,0),1,25))</f>
        <v/>
      </c>
      <c r="L406" s="19"/>
      <c r="M406" s="20"/>
      <c r="N406" s="1"/>
      <c r="O406" s="2"/>
      <c r="P406" s="58"/>
      <c r="Q406" s="58"/>
      <c r="R406" s="58"/>
      <c r="S406" s="55"/>
      <c r="T406" s="36"/>
    </row>
    <row r="407" spans="1:20" s="37" customFormat="1" x14ac:dyDescent="0.25">
      <c r="A407" s="33"/>
      <c r="B407" s="54" t="str">
        <f t="shared" si="30"/>
        <v>K4B6</v>
      </c>
      <c r="C407" s="56" t="str">
        <f t="shared" si="31"/>
        <v>OBRA</v>
      </c>
      <c r="D407" s="56"/>
      <c r="E407" s="54" t="str">
        <f t="shared" si="32"/>
        <v/>
      </c>
      <c r="F407" s="22" t="str">
        <f t="shared" si="33"/>
        <v/>
      </c>
      <c r="G407" s="22" t="str">
        <f t="shared" si="34"/>
        <v/>
      </c>
      <c r="H407" s="49"/>
      <c r="I407" s="57" t="str">
        <f>IF(H407="","",MID(VLOOKUP(H407,Codigo_Material!$A$2:$C$9999,2,0),1,30))</f>
        <v/>
      </c>
      <c r="J407" s="57"/>
      <c r="K407" s="54" t="str">
        <f>IF(H407="","",MID(VLOOKUP(H407,Codigo_Material!$A$2:$C$6426,3,0),1,25))</f>
        <v/>
      </c>
      <c r="L407" s="19"/>
      <c r="M407" s="20"/>
      <c r="N407" s="1"/>
      <c r="O407" s="2"/>
      <c r="P407" s="58"/>
      <c r="Q407" s="58"/>
      <c r="R407" s="58"/>
      <c r="S407" s="55"/>
      <c r="T407" s="36"/>
    </row>
    <row r="408" spans="1:20" s="37" customFormat="1" x14ac:dyDescent="0.25">
      <c r="A408" s="33"/>
      <c r="B408" s="54" t="str">
        <f t="shared" si="30"/>
        <v>K4B6</v>
      </c>
      <c r="C408" s="56" t="str">
        <f t="shared" si="31"/>
        <v>OBRA</v>
      </c>
      <c r="D408" s="56"/>
      <c r="E408" s="54" t="str">
        <f t="shared" si="32"/>
        <v/>
      </c>
      <c r="F408" s="22" t="str">
        <f t="shared" si="33"/>
        <v/>
      </c>
      <c r="G408" s="22" t="str">
        <f t="shared" si="34"/>
        <v/>
      </c>
      <c r="H408" s="49"/>
      <c r="I408" s="57" t="str">
        <f>IF(H408="","",MID(VLOOKUP(H408,Codigo_Material!$A$2:$C$9999,2,0),1,30))</f>
        <v/>
      </c>
      <c r="J408" s="57"/>
      <c r="K408" s="54" t="str">
        <f>IF(H408="","",MID(VLOOKUP(H408,Codigo_Material!$A$2:$C$6426,3,0),1,25))</f>
        <v/>
      </c>
      <c r="L408" s="19"/>
      <c r="M408" s="20"/>
      <c r="N408" s="1"/>
      <c r="O408" s="2"/>
      <c r="P408" s="58"/>
      <c r="Q408" s="58"/>
      <c r="R408" s="58"/>
      <c r="S408" s="55"/>
      <c r="T408" s="36"/>
    </row>
    <row r="409" spans="1:20" s="37" customFormat="1" x14ac:dyDescent="0.25">
      <c r="A409" s="33"/>
      <c r="B409" s="54" t="str">
        <f t="shared" si="30"/>
        <v>K4B6</v>
      </c>
      <c r="C409" s="56" t="str">
        <f t="shared" si="31"/>
        <v>OBRA</v>
      </c>
      <c r="D409" s="56"/>
      <c r="E409" s="54" t="str">
        <f t="shared" si="32"/>
        <v/>
      </c>
      <c r="F409" s="22" t="str">
        <f t="shared" si="33"/>
        <v/>
      </c>
      <c r="G409" s="22" t="str">
        <f t="shared" si="34"/>
        <v/>
      </c>
      <c r="H409" s="49"/>
      <c r="I409" s="57" t="str">
        <f>IF(H409="","",MID(VLOOKUP(H409,Codigo_Material!$A$2:$C$9999,2,0),1,30))</f>
        <v/>
      </c>
      <c r="J409" s="57"/>
      <c r="K409" s="54" t="str">
        <f>IF(H409="","",MID(VLOOKUP(H409,Codigo_Material!$A$2:$C$6426,3,0),1,25))</f>
        <v/>
      </c>
      <c r="L409" s="19"/>
      <c r="M409" s="20"/>
      <c r="N409" s="1"/>
      <c r="O409" s="2"/>
      <c r="P409" s="58"/>
      <c r="Q409" s="58"/>
      <c r="R409" s="58"/>
      <c r="S409" s="55"/>
      <c r="T409" s="36"/>
    </row>
    <row r="410" spans="1:20" s="37" customFormat="1" x14ac:dyDescent="0.25">
      <c r="A410" s="33"/>
      <c r="B410" s="54" t="str">
        <f t="shared" si="30"/>
        <v>K4B6</v>
      </c>
      <c r="C410" s="56" t="str">
        <f t="shared" si="31"/>
        <v>OBRA</v>
      </c>
      <c r="D410" s="56"/>
      <c r="E410" s="54" t="str">
        <f t="shared" si="32"/>
        <v/>
      </c>
      <c r="F410" s="22" t="str">
        <f t="shared" si="33"/>
        <v/>
      </c>
      <c r="G410" s="22" t="str">
        <f t="shared" si="34"/>
        <v/>
      </c>
      <c r="H410" s="49"/>
      <c r="I410" s="57" t="str">
        <f>IF(H410="","",MID(VLOOKUP(H410,Codigo_Material!$A$2:$C$9999,2,0),1,30))</f>
        <v/>
      </c>
      <c r="J410" s="57"/>
      <c r="K410" s="54" t="str">
        <f>IF(H410="","",MID(VLOOKUP(H410,Codigo_Material!$A$2:$C$6426,3,0),1,25))</f>
        <v/>
      </c>
      <c r="L410" s="19"/>
      <c r="M410" s="20"/>
      <c r="N410" s="1"/>
      <c r="O410" s="2"/>
      <c r="P410" s="58"/>
      <c r="Q410" s="58"/>
      <c r="R410" s="58"/>
      <c r="S410" s="55"/>
      <c r="T410" s="36"/>
    </row>
    <row r="411" spans="1:20" s="37" customFormat="1" x14ac:dyDescent="0.25">
      <c r="A411" s="33"/>
      <c r="B411" s="54" t="str">
        <f t="shared" si="30"/>
        <v>K4B6</v>
      </c>
      <c r="C411" s="56" t="str">
        <f t="shared" si="31"/>
        <v>OBRA</v>
      </c>
      <c r="D411" s="56"/>
      <c r="E411" s="54" t="str">
        <f t="shared" si="32"/>
        <v/>
      </c>
      <c r="F411" s="22" t="str">
        <f t="shared" si="33"/>
        <v/>
      </c>
      <c r="G411" s="22" t="str">
        <f t="shared" si="34"/>
        <v/>
      </c>
      <c r="H411" s="49"/>
      <c r="I411" s="57" t="str">
        <f>IF(H411="","",MID(VLOOKUP(H411,Codigo_Material!$A$2:$C$9999,2,0),1,30))</f>
        <v/>
      </c>
      <c r="J411" s="57"/>
      <c r="K411" s="54" t="str">
        <f>IF(H411="","",MID(VLOOKUP(H411,Codigo_Material!$A$2:$C$6426,3,0),1,25))</f>
        <v/>
      </c>
      <c r="L411" s="19"/>
      <c r="M411" s="20"/>
      <c r="N411" s="1"/>
      <c r="O411" s="2"/>
      <c r="P411" s="58"/>
      <c r="Q411" s="58"/>
      <c r="R411" s="58"/>
      <c r="S411" s="55"/>
      <c r="T411" s="36"/>
    </row>
    <row r="412" spans="1:20" s="37" customFormat="1" x14ac:dyDescent="0.25">
      <c r="A412" s="33"/>
      <c r="B412" s="54" t="str">
        <f t="shared" si="30"/>
        <v>K4B6</v>
      </c>
      <c r="C412" s="56" t="str">
        <f t="shared" si="31"/>
        <v>OBRA</v>
      </c>
      <c r="D412" s="56"/>
      <c r="E412" s="54" t="str">
        <f t="shared" si="32"/>
        <v/>
      </c>
      <c r="F412" s="22" t="str">
        <f t="shared" si="33"/>
        <v/>
      </c>
      <c r="G412" s="22" t="str">
        <f t="shared" si="34"/>
        <v/>
      </c>
      <c r="H412" s="49"/>
      <c r="I412" s="57" t="str">
        <f>IF(H412="","",MID(VLOOKUP(H412,Codigo_Material!$A$2:$C$9999,2,0),1,30))</f>
        <v/>
      </c>
      <c r="J412" s="57"/>
      <c r="K412" s="54" t="str">
        <f>IF(H412="","",MID(VLOOKUP(H412,Codigo_Material!$A$2:$C$6426,3,0),1,25))</f>
        <v/>
      </c>
      <c r="L412" s="19"/>
      <c r="M412" s="20"/>
      <c r="N412" s="1"/>
      <c r="O412" s="2"/>
      <c r="P412" s="58"/>
      <c r="Q412" s="58"/>
      <c r="R412" s="58"/>
      <c r="S412" s="55"/>
      <c r="T412" s="36"/>
    </row>
    <row r="413" spans="1:20" s="37" customFormat="1" x14ac:dyDescent="0.25">
      <c r="A413" s="33"/>
      <c r="B413" s="54" t="str">
        <f t="shared" si="30"/>
        <v>K4B6</v>
      </c>
      <c r="C413" s="56" t="str">
        <f t="shared" si="31"/>
        <v>OBRA</v>
      </c>
      <c r="D413" s="56"/>
      <c r="E413" s="54" t="str">
        <f t="shared" si="32"/>
        <v/>
      </c>
      <c r="F413" s="22" t="str">
        <f t="shared" si="33"/>
        <v/>
      </c>
      <c r="G413" s="22" t="str">
        <f t="shared" si="34"/>
        <v/>
      </c>
      <c r="H413" s="49"/>
      <c r="I413" s="57" t="str">
        <f>IF(H413="","",MID(VLOOKUP(H413,Codigo_Material!$A$2:$C$9999,2,0),1,30))</f>
        <v/>
      </c>
      <c r="J413" s="57"/>
      <c r="K413" s="54" t="str">
        <f>IF(H413="","",MID(VLOOKUP(H413,Codigo_Material!$A$2:$C$6426,3,0),1,25))</f>
        <v/>
      </c>
      <c r="L413" s="19"/>
      <c r="M413" s="20"/>
      <c r="N413" s="1"/>
      <c r="O413" s="2"/>
      <c r="P413" s="58"/>
      <c r="Q413" s="58"/>
      <c r="R413" s="58"/>
      <c r="S413" s="55"/>
      <c r="T413" s="36"/>
    </row>
    <row r="414" spans="1:20" s="37" customFormat="1" x14ac:dyDescent="0.25">
      <c r="A414" s="33"/>
      <c r="B414" s="54" t="str">
        <f t="shared" si="30"/>
        <v>K4B6</v>
      </c>
      <c r="C414" s="56" t="str">
        <f t="shared" si="31"/>
        <v>OBRA</v>
      </c>
      <c r="D414" s="56"/>
      <c r="E414" s="54" t="str">
        <f t="shared" si="32"/>
        <v/>
      </c>
      <c r="F414" s="22" t="str">
        <f t="shared" si="33"/>
        <v/>
      </c>
      <c r="G414" s="22" t="str">
        <f t="shared" si="34"/>
        <v/>
      </c>
      <c r="H414" s="49"/>
      <c r="I414" s="57" t="str">
        <f>IF(H414="","",MID(VLOOKUP(H414,Codigo_Material!$A$2:$C$9999,2,0),1,30))</f>
        <v/>
      </c>
      <c r="J414" s="57"/>
      <c r="K414" s="54" t="str">
        <f>IF(H414="","",MID(VLOOKUP(H414,Codigo_Material!$A$2:$C$6426,3,0),1,25))</f>
        <v/>
      </c>
      <c r="L414" s="19"/>
      <c r="M414" s="20"/>
      <c r="N414" s="1"/>
      <c r="O414" s="2"/>
      <c r="P414" s="58"/>
      <c r="Q414" s="58"/>
      <c r="R414" s="58"/>
      <c r="S414" s="55"/>
      <c r="T414" s="36"/>
    </row>
    <row r="415" spans="1:20" s="37" customFormat="1" x14ac:dyDescent="0.25">
      <c r="A415" s="33"/>
      <c r="B415" s="54" t="str">
        <f t="shared" si="30"/>
        <v>K4B6</v>
      </c>
      <c r="C415" s="56" t="str">
        <f t="shared" si="31"/>
        <v>OBRA</v>
      </c>
      <c r="D415" s="56"/>
      <c r="E415" s="54" t="str">
        <f t="shared" si="32"/>
        <v/>
      </c>
      <c r="F415" s="22" t="str">
        <f t="shared" si="33"/>
        <v/>
      </c>
      <c r="G415" s="22" t="str">
        <f t="shared" si="34"/>
        <v/>
      </c>
      <c r="H415" s="49"/>
      <c r="I415" s="57" t="str">
        <f>IF(H415="","",MID(VLOOKUP(H415,Codigo_Material!$A$2:$C$9999,2,0),1,30))</f>
        <v/>
      </c>
      <c r="J415" s="57"/>
      <c r="K415" s="54" t="str">
        <f>IF(H415="","",MID(VLOOKUP(H415,Codigo_Material!$A$2:$C$6426,3,0),1,25))</f>
        <v/>
      </c>
      <c r="L415" s="19"/>
      <c r="M415" s="20"/>
      <c r="N415" s="1"/>
      <c r="O415" s="2"/>
      <c r="P415" s="58"/>
      <c r="Q415" s="58"/>
      <c r="R415" s="58"/>
      <c r="S415" s="55"/>
      <c r="T415" s="36"/>
    </row>
    <row r="416" spans="1:20" s="37" customFormat="1" x14ac:dyDescent="0.25">
      <c r="A416" s="33"/>
      <c r="B416" s="54" t="str">
        <f t="shared" si="30"/>
        <v>K4B6</v>
      </c>
      <c r="C416" s="56" t="str">
        <f t="shared" si="31"/>
        <v>OBRA</v>
      </c>
      <c r="D416" s="56"/>
      <c r="E416" s="54" t="str">
        <f t="shared" si="32"/>
        <v/>
      </c>
      <c r="F416" s="22" t="str">
        <f t="shared" si="33"/>
        <v/>
      </c>
      <c r="G416" s="22" t="str">
        <f t="shared" si="34"/>
        <v/>
      </c>
      <c r="H416" s="49"/>
      <c r="I416" s="57" t="str">
        <f>IF(H416="","",MID(VLOOKUP(H416,Codigo_Material!$A$2:$C$9999,2,0),1,30))</f>
        <v/>
      </c>
      <c r="J416" s="57"/>
      <c r="K416" s="54" t="str">
        <f>IF(H416="","",MID(VLOOKUP(H416,Codigo_Material!$A$2:$C$6426,3,0),1,25))</f>
        <v/>
      </c>
      <c r="L416" s="19"/>
      <c r="M416" s="20"/>
      <c r="N416" s="1"/>
      <c r="O416" s="2"/>
      <c r="P416" s="58"/>
      <c r="Q416" s="58"/>
      <c r="R416" s="58"/>
      <c r="S416" s="55"/>
      <c r="T416" s="36"/>
    </row>
    <row r="417" spans="1:20" s="37" customFormat="1" x14ac:dyDescent="0.25">
      <c r="A417" s="33"/>
      <c r="B417" s="54" t="str">
        <f t="shared" si="30"/>
        <v>K4B6</v>
      </c>
      <c r="C417" s="56" t="str">
        <f t="shared" si="31"/>
        <v>OBRA</v>
      </c>
      <c r="D417" s="56"/>
      <c r="E417" s="54" t="str">
        <f t="shared" si="32"/>
        <v/>
      </c>
      <c r="F417" s="22" t="str">
        <f t="shared" si="33"/>
        <v/>
      </c>
      <c r="G417" s="22" t="str">
        <f t="shared" si="34"/>
        <v/>
      </c>
      <c r="H417" s="49"/>
      <c r="I417" s="57" t="str">
        <f>IF(H417="","",MID(VLOOKUP(H417,Codigo_Material!$A$2:$C$9999,2,0),1,30))</f>
        <v/>
      </c>
      <c r="J417" s="57"/>
      <c r="K417" s="54" t="str">
        <f>IF(H417="","",MID(VLOOKUP(H417,Codigo_Material!$A$2:$C$6426,3,0),1,25))</f>
        <v/>
      </c>
      <c r="L417" s="19"/>
      <c r="M417" s="20"/>
      <c r="N417" s="1"/>
      <c r="O417" s="2"/>
      <c r="P417" s="58"/>
      <c r="Q417" s="58"/>
      <c r="R417" s="58"/>
      <c r="S417" s="55"/>
      <c r="T417" s="36"/>
    </row>
    <row r="418" spans="1:20" s="37" customFormat="1" x14ac:dyDescent="0.25">
      <c r="A418" s="33"/>
      <c r="B418" s="54" t="str">
        <f t="shared" si="30"/>
        <v>K4B6</v>
      </c>
      <c r="C418" s="56" t="str">
        <f t="shared" si="31"/>
        <v>OBRA</v>
      </c>
      <c r="D418" s="56"/>
      <c r="E418" s="54" t="str">
        <f t="shared" si="32"/>
        <v/>
      </c>
      <c r="F418" s="22" t="str">
        <f t="shared" si="33"/>
        <v/>
      </c>
      <c r="G418" s="22" t="str">
        <f t="shared" si="34"/>
        <v/>
      </c>
      <c r="H418" s="49"/>
      <c r="I418" s="57" t="str">
        <f>IF(H418="","",MID(VLOOKUP(H418,Codigo_Material!$A$2:$C$9999,2,0),1,30))</f>
        <v/>
      </c>
      <c r="J418" s="57"/>
      <c r="K418" s="54" t="str">
        <f>IF(H418="","",MID(VLOOKUP(H418,Codigo_Material!$A$2:$C$6426,3,0),1,25))</f>
        <v/>
      </c>
      <c r="L418" s="19"/>
      <c r="M418" s="20"/>
      <c r="N418" s="1"/>
      <c r="O418" s="2"/>
      <c r="P418" s="58"/>
      <c r="Q418" s="58"/>
      <c r="R418" s="58"/>
      <c r="S418" s="55"/>
      <c r="T418" s="36"/>
    </row>
    <row r="419" spans="1:20" s="37" customFormat="1" x14ac:dyDescent="0.25">
      <c r="A419" s="33"/>
      <c r="B419" s="54" t="str">
        <f t="shared" si="30"/>
        <v>K4B6</v>
      </c>
      <c r="C419" s="56" t="str">
        <f t="shared" si="31"/>
        <v>OBRA</v>
      </c>
      <c r="D419" s="56"/>
      <c r="E419" s="54" t="str">
        <f t="shared" si="32"/>
        <v/>
      </c>
      <c r="F419" s="22" t="str">
        <f t="shared" si="33"/>
        <v/>
      </c>
      <c r="G419" s="22" t="str">
        <f t="shared" si="34"/>
        <v/>
      </c>
      <c r="H419" s="49"/>
      <c r="I419" s="57" t="str">
        <f>IF(H419="","",MID(VLOOKUP(H419,Codigo_Material!$A$2:$C$9999,2,0),1,30))</f>
        <v/>
      </c>
      <c r="J419" s="57"/>
      <c r="K419" s="54" t="str">
        <f>IF(H419="","",MID(VLOOKUP(H419,Codigo_Material!$A$2:$C$6426,3,0),1,25))</f>
        <v/>
      </c>
      <c r="L419" s="19"/>
      <c r="M419" s="20"/>
      <c r="N419" s="1"/>
      <c r="O419" s="2"/>
      <c r="P419" s="58"/>
      <c r="Q419" s="58"/>
      <c r="R419" s="58"/>
      <c r="S419" s="55"/>
      <c r="T419" s="36"/>
    </row>
    <row r="420" spans="1:20" s="37" customFormat="1" x14ac:dyDescent="0.25">
      <c r="A420" s="33"/>
      <c r="B420" s="54" t="str">
        <f t="shared" si="30"/>
        <v>K4B6</v>
      </c>
      <c r="C420" s="56" t="str">
        <f t="shared" si="31"/>
        <v>OBRA</v>
      </c>
      <c r="D420" s="56"/>
      <c r="E420" s="54" t="str">
        <f t="shared" si="32"/>
        <v/>
      </c>
      <c r="F420" s="22" t="str">
        <f t="shared" si="33"/>
        <v/>
      </c>
      <c r="G420" s="22" t="str">
        <f t="shared" si="34"/>
        <v/>
      </c>
      <c r="H420" s="49"/>
      <c r="I420" s="57" t="str">
        <f>IF(H420="","",MID(VLOOKUP(H420,Codigo_Material!$A$2:$C$9999,2,0),1,30))</f>
        <v/>
      </c>
      <c r="J420" s="57"/>
      <c r="K420" s="54" t="str">
        <f>IF(H420="","",MID(VLOOKUP(H420,Codigo_Material!$A$2:$C$6426,3,0),1,25))</f>
        <v/>
      </c>
      <c r="L420" s="19"/>
      <c r="M420" s="20"/>
      <c r="N420" s="1"/>
      <c r="O420" s="2"/>
      <c r="P420" s="58"/>
      <c r="Q420" s="58"/>
      <c r="R420" s="58"/>
      <c r="S420" s="55"/>
      <c r="T420" s="36"/>
    </row>
    <row r="421" spans="1:20" s="37" customFormat="1" x14ac:dyDescent="0.25">
      <c r="A421" s="33"/>
      <c r="B421" s="54" t="str">
        <f t="shared" si="30"/>
        <v>K4B6</v>
      </c>
      <c r="C421" s="56" t="str">
        <f t="shared" si="31"/>
        <v>OBRA</v>
      </c>
      <c r="D421" s="56"/>
      <c r="E421" s="54" t="str">
        <f t="shared" si="32"/>
        <v/>
      </c>
      <c r="F421" s="22" t="str">
        <f t="shared" si="33"/>
        <v/>
      </c>
      <c r="G421" s="22" t="str">
        <f t="shared" si="34"/>
        <v/>
      </c>
      <c r="H421" s="49"/>
      <c r="I421" s="57" t="str">
        <f>IF(H421="","",MID(VLOOKUP(H421,Codigo_Material!$A$2:$C$9999,2,0),1,30))</f>
        <v/>
      </c>
      <c r="J421" s="57"/>
      <c r="K421" s="54" t="str">
        <f>IF(H421="","",MID(VLOOKUP(H421,Codigo_Material!$A$2:$C$6426,3,0),1,25))</f>
        <v/>
      </c>
      <c r="L421" s="19"/>
      <c r="M421" s="20"/>
      <c r="N421" s="1"/>
      <c r="O421" s="2"/>
      <c r="P421" s="58"/>
      <c r="Q421" s="58"/>
      <c r="R421" s="58"/>
      <c r="S421" s="55"/>
      <c r="T421" s="36"/>
    </row>
    <row r="422" spans="1:20" s="37" customFormat="1" x14ac:dyDescent="0.25">
      <c r="A422" s="33"/>
      <c r="B422" s="54" t="str">
        <f t="shared" si="30"/>
        <v>K4B6</v>
      </c>
      <c r="C422" s="56" t="str">
        <f t="shared" si="31"/>
        <v>OBRA</v>
      </c>
      <c r="D422" s="56"/>
      <c r="E422" s="54" t="str">
        <f t="shared" si="32"/>
        <v/>
      </c>
      <c r="F422" s="22" t="str">
        <f t="shared" si="33"/>
        <v/>
      </c>
      <c r="G422" s="22" t="str">
        <f t="shared" si="34"/>
        <v/>
      </c>
      <c r="H422" s="49"/>
      <c r="I422" s="57" t="str">
        <f>IF(H422="","",MID(VLOOKUP(H422,Codigo_Material!$A$2:$C$9999,2,0),1,30))</f>
        <v/>
      </c>
      <c r="J422" s="57"/>
      <c r="K422" s="54" t="str">
        <f>IF(H422="","",MID(VLOOKUP(H422,Codigo_Material!$A$2:$C$6426,3,0),1,25))</f>
        <v/>
      </c>
      <c r="L422" s="19"/>
      <c r="M422" s="20"/>
      <c r="N422" s="1"/>
      <c r="O422" s="2"/>
      <c r="P422" s="58"/>
      <c r="Q422" s="58"/>
      <c r="R422" s="58"/>
      <c r="S422" s="55"/>
      <c r="T422" s="36"/>
    </row>
    <row r="423" spans="1:20" s="37" customFormat="1" x14ac:dyDescent="0.25">
      <c r="A423" s="33"/>
      <c r="B423" s="54" t="str">
        <f t="shared" si="30"/>
        <v>K4B6</v>
      </c>
      <c r="C423" s="56" t="str">
        <f t="shared" si="31"/>
        <v>OBRA</v>
      </c>
      <c r="D423" s="56"/>
      <c r="E423" s="54" t="str">
        <f t="shared" si="32"/>
        <v/>
      </c>
      <c r="F423" s="22" t="str">
        <f t="shared" si="33"/>
        <v/>
      </c>
      <c r="G423" s="22" t="str">
        <f t="shared" si="34"/>
        <v/>
      </c>
      <c r="H423" s="49"/>
      <c r="I423" s="57" t="str">
        <f>IF(H423="","",MID(VLOOKUP(H423,Codigo_Material!$A$2:$C$9999,2,0),1,30))</f>
        <v/>
      </c>
      <c r="J423" s="57"/>
      <c r="K423" s="54" t="str">
        <f>IF(H423="","",MID(VLOOKUP(H423,Codigo_Material!$A$2:$C$6426,3,0),1,25))</f>
        <v/>
      </c>
      <c r="L423" s="19"/>
      <c r="M423" s="20"/>
      <c r="N423" s="1"/>
      <c r="O423" s="2"/>
      <c r="P423" s="58"/>
      <c r="Q423" s="58"/>
      <c r="R423" s="58"/>
      <c r="S423" s="55"/>
      <c r="T423" s="36"/>
    </row>
    <row r="424" spans="1:20" s="37" customFormat="1" x14ac:dyDescent="0.25">
      <c r="A424" s="33"/>
      <c r="B424" s="54" t="str">
        <f t="shared" si="30"/>
        <v>K4B6</v>
      </c>
      <c r="C424" s="56" t="str">
        <f t="shared" si="31"/>
        <v>OBRA</v>
      </c>
      <c r="D424" s="56"/>
      <c r="E424" s="54" t="str">
        <f t="shared" si="32"/>
        <v/>
      </c>
      <c r="F424" s="22" t="str">
        <f t="shared" si="33"/>
        <v/>
      </c>
      <c r="G424" s="22" t="str">
        <f t="shared" si="34"/>
        <v/>
      </c>
      <c r="H424" s="49"/>
      <c r="I424" s="57" t="str">
        <f>IF(H424="","",MID(VLOOKUP(H424,Codigo_Material!$A$2:$C$9999,2,0),1,30))</f>
        <v/>
      </c>
      <c r="J424" s="57"/>
      <c r="K424" s="54" t="str">
        <f>IF(H424="","",MID(VLOOKUP(H424,Codigo_Material!$A$2:$C$6426,3,0),1,25))</f>
        <v/>
      </c>
      <c r="L424" s="19"/>
      <c r="M424" s="20"/>
      <c r="N424" s="1"/>
      <c r="O424" s="2"/>
      <c r="P424" s="58"/>
      <c r="Q424" s="58"/>
      <c r="R424" s="58"/>
      <c r="S424" s="55"/>
      <c r="T424" s="36"/>
    </row>
    <row r="425" spans="1:20" s="37" customFormat="1" x14ac:dyDescent="0.25">
      <c r="A425" s="33"/>
      <c r="B425" s="54" t="str">
        <f t="shared" si="30"/>
        <v>K4B6</v>
      </c>
      <c r="C425" s="56" t="str">
        <f t="shared" si="31"/>
        <v>OBRA</v>
      </c>
      <c r="D425" s="56"/>
      <c r="E425" s="54" t="str">
        <f t="shared" si="32"/>
        <v/>
      </c>
      <c r="F425" s="22" t="str">
        <f t="shared" si="33"/>
        <v/>
      </c>
      <c r="G425" s="22" t="str">
        <f t="shared" si="34"/>
        <v/>
      </c>
      <c r="H425" s="49"/>
      <c r="I425" s="57" t="str">
        <f>IF(H425="","",MID(VLOOKUP(H425,Codigo_Material!$A$2:$C$9999,2,0),1,30))</f>
        <v/>
      </c>
      <c r="J425" s="57"/>
      <c r="K425" s="54" t="str">
        <f>IF(H425="","",MID(VLOOKUP(H425,Codigo_Material!$A$2:$C$6426,3,0),1,25))</f>
        <v/>
      </c>
      <c r="L425" s="19"/>
      <c r="M425" s="20"/>
      <c r="N425" s="1"/>
      <c r="O425" s="2"/>
      <c r="P425" s="58"/>
      <c r="Q425" s="58"/>
      <c r="R425" s="58"/>
      <c r="S425" s="55"/>
      <c r="T425" s="36"/>
    </row>
    <row r="426" spans="1:20" s="37" customFormat="1" x14ac:dyDescent="0.25">
      <c r="A426" s="33"/>
      <c r="B426" s="54" t="str">
        <f t="shared" si="30"/>
        <v>K4B6</v>
      </c>
      <c r="C426" s="56" t="str">
        <f t="shared" si="31"/>
        <v>OBRA</v>
      </c>
      <c r="D426" s="56"/>
      <c r="E426" s="54" t="str">
        <f t="shared" si="32"/>
        <v/>
      </c>
      <c r="F426" s="22" t="str">
        <f t="shared" si="33"/>
        <v/>
      </c>
      <c r="G426" s="22" t="str">
        <f t="shared" si="34"/>
        <v/>
      </c>
      <c r="H426" s="49"/>
      <c r="I426" s="57" t="str">
        <f>IF(H426="","",MID(VLOOKUP(H426,Codigo_Material!$A$2:$C$9999,2,0),1,30))</f>
        <v/>
      </c>
      <c r="J426" s="57"/>
      <c r="K426" s="54" t="str">
        <f>IF(H426="","",MID(VLOOKUP(H426,Codigo_Material!$A$2:$C$6426,3,0),1,25))</f>
        <v/>
      </c>
      <c r="L426" s="19"/>
      <c r="M426" s="20"/>
      <c r="N426" s="1"/>
      <c r="O426" s="2"/>
      <c r="P426" s="58"/>
      <c r="Q426" s="58"/>
      <c r="R426" s="58"/>
      <c r="S426" s="55"/>
      <c r="T426" s="36"/>
    </row>
    <row r="427" spans="1:20" s="37" customFormat="1" x14ac:dyDescent="0.25">
      <c r="A427" s="33"/>
      <c r="B427" s="54" t="str">
        <f t="shared" si="30"/>
        <v>K4B6</v>
      </c>
      <c r="C427" s="56" t="str">
        <f t="shared" si="31"/>
        <v>OBRA</v>
      </c>
      <c r="D427" s="56"/>
      <c r="E427" s="54" t="str">
        <f t="shared" si="32"/>
        <v/>
      </c>
      <c r="F427" s="22" t="str">
        <f t="shared" si="33"/>
        <v/>
      </c>
      <c r="G427" s="22" t="str">
        <f t="shared" si="34"/>
        <v/>
      </c>
      <c r="H427" s="49"/>
      <c r="I427" s="57" t="str">
        <f>IF(H427="","",MID(VLOOKUP(H427,Codigo_Material!$A$2:$C$9999,2,0),1,30))</f>
        <v/>
      </c>
      <c r="J427" s="57"/>
      <c r="K427" s="54" t="str">
        <f>IF(H427="","",MID(VLOOKUP(H427,Codigo_Material!$A$2:$C$6426,3,0),1,25))</f>
        <v/>
      </c>
      <c r="L427" s="19"/>
      <c r="M427" s="20"/>
      <c r="N427" s="1"/>
      <c r="O427" s="2"/>
      <c r="P427" s="58"/>
      <c r="Q427" s="58"/>
      <c r="R427" s="58"/>
      <c r="S427" s="55"/>
      <c r="T427" s="36"/>
    </row>
    <row r="428" spans="1:20" s="37" customFormat="1" x14ac:dyDescent="0.25">
      <c r="A428" s="33"/>
      <c r="B428" s="54" t="str">
        <f t="shared" si="30"/>
        <v>K4B6</v>
      </c>
      <c r="C428" s="56" t="str">
        <f t="shared" si="31"/>
        <v>OBRA</v>
      </c>
      <c r="D428" s="56"/>
      <c r="E428" s="54" t="str">
        <f t="shared" si="32"/>
        <v/>
      </c>
      <c r="F428" s="22" t="str">
        <f t="shared" si="33"/>
        <v/>
      </c>
      <c r="G428" s="22" t="str">
        <f t="shared" si="34"/>
        <v/>
      </c>
      <c r="H428" s="49"/>
      <c r="I428" s="57" t="str">
        <f>IF(H428="","",MID(VLOOKUP(H428,Codigo_Material!$A$2:$C$9999,2,0),1,30))</f>
        <v/>
      </c>
      <c r="J428" s="57"/>
      <c r="K428" s="54" t="str">
        <f>IF(H428="","",MID(VLOOKUP(H428,Codigo_Material!$A$2:$C$6426,3,0),1,25))</f>
        <v/>
      </c>
      <c r="L428" s="19"/>
      <c r="M428" s="20"/>
      <c r="N428" s="1"/>
      <c r="O428" s="2"/>
      <c r="P428" s="58"/>
      <c r="Q428" s="58"/>
      <c r="R428" s="58"/>
      <c r="S428" s="55"/>
      <c r="T428" s="36"/>
    </row>
    <row r="429" spans="1:20" s="37" customFormat="1" x14ac:dyDescent="0.25">
      <c r="A429" s="33"/>
      <c r="B429" s="54" t="str">
        <f t="shared" si="30"/>
        <v>K4B6</v>
      </c>
      <c r="C429" s="56" t="str">
        <f t="shared" si="31"/>
        <v>OBRA</v>
      </c>
      <c r="D429" s="56"/>
      <c r="E429" s="54" t="str">
        <f t="shared" si="32"/>
        <v/>
      </c>
      <c r="F429" s="22" t="str">
        <f t="shared" si="33"/>
        <v/>
      </c>
      <c r="G429" s="22" t="str">
        <f t="shared" si="34"/>
        <v/>
      </c>
      <c r="H429" s="49"/>
      <c r="I429" s="57" t="str">
        <f>IF(H429="","",MID(VLOOKUP(H429,Codigo_Material!$A$2:$C$9999,2,0),1,30))</f>
        <v/>
      </c>
      <c r="J429" s="57"/>
      <c r="K429" s="54" t="str">
        <f>IF(H429="","",MID(VLOOKUP(H429,Codigo_Material!$A$2:$C$6426,3,0),1,25))</f>
        <v/>
      </c>
      <c r="L429" s="19"/>
      <c r="M429" s="20"/>
      <c r="N429" s="1"/>
      <c r="O429" s="2"/>
      <c r="P429" s="58"/>
      <c r="Q429" s="58"/>
      <c r="R429" s="58"/>
      <c r="S429" s="55"/>
      <c r="T429" s="36"/>
    </row>
    <row r="430" spans="1:20" s="37" customFormat="1" x14ac:dyDescent="0.25">
      <c r="A430" s="33"/>
      <c r="B430" s="54" t="str">
        <f t="shared" si="30"/>
        <v>K4B6</v>
      </c>
      <c r="C430" s="56" t="str">
        <f t="shared" si="31"/>
        <v>OBRA</v>
      </c>
      <c r="D430" s="56"/>
      <c r="E430" s="54" t="str">
        <f t="shared" si="32"/>
        <v/>
      </c>
      <c r="F430" s="22" t="str">
        <f t="shared" si="33"/>
        <v/>
      </c>
      <c r="G430" s="22" t="str">
        <f t="shared" si="34"/>
        <v/>
      </c>
      <c r="H430" s="49"/>
      <c r="I430" s="57" t="str">
        <f>IF(H430="","",MID(VLOOKUP(H430,Codigo_Material!$A$2:$C$9999,2,0),1,30))</f>
        <v/>
      </c>
      <c r="J430" s="57"/>
      <c r="K430" s="54" t="str">
        <f>IF(H430="","",MID(VLOOKUP(H430,Codigo_Material!$A$2:$C$6426,3,0),1,25))</f>
        <v/>
      </c>
      <c r="L430" s="19"/>
      <c r="M430" s="20"/>
      <c r="N430" s="1"/>
      <c r="O430" s="2"/>
      <c r="P430" s="58"/>
      <c r="Q430" s="58"/>
      <c r="R430" s="58"/>
      <c r="S430" s="55"/>
      <c r="T430" s="36"/>
    </row>
    <row r="431" spans="1:20" s="37" customFormat="1" x14ac:dyDescent="0.25">
      <c r="A431" s="33"/>
      <c r="B431" s="54" t="str">
        <f t="shared" si="30"/>
        <v>K4B6</v>
      </c>
      <c r="C431" s="56" t="str">
        <f t="shared" si="31"/>
        <v>OBRA</v>
      </c>
      <c r="D431" s="56"/>
      <c r="E431" s="54" t="str">
        <f t="shared" si="32"/>
        <v/>
      </c>
      <c r="F431" s="22" t="str">
        <f t="shared" si="33"/>
        <v/>
      </c>
      <c r="G431" s="22" t="str">
        <f t="shared" si="34"/>
        <v/>
      </c>
      <c r="H431" s="49"/>
      <c r="I431" s="57" t="str">
        <f>IF(H431="","",MID(VLOOKUP(H431,Codigo_Material!$A$2:$C$9999,2,0),1,30))</f>
        <v/>
      </c>
      <c r="J431" s="57"/>
      <c r="K431" s="54" t="str">
        <f>IF(H431="","",MID(VLOOKUP(H431,Codigo_Material!$A$2:$C$6426,3,0),1,25))</f>
        <v/>
      </c>
      <c r="L431" s="19"/>
      <c r="M431" s="20"/>
      <c r="N431" s="1"/>
      <c r="O431" s="2"/>
      <c r="P431" s="58"/>
      <c r="Q431" s="58"/>
      <c r="R431" s="58"/>
      <c r="S431" s="55"/>
      <c r="T431" s="36"/>
    </row>
    <row r="432" spans="1:20" s="37" customFormat="1" x14ac:dyDescent="0.25">
      <c r="A432" s="33"/>
      <c r="B432" s="54" t="str">
        <f t="shared" si="30"/>
        <v>K4B6</v>
      </c>
      <c r="C432" s="56" t="str">
        <f t="shared" si="31"/>
        <v>OBRA</v>
      </c>
      <c r="D432" s="56"/>
      <c r="E432" s="54" t="str">
        <f t="shared" si="32"/>
        <v/>
      </c>
      <c r="F432" s="22" t="str">
        <f t="shared" si="33"/>
        <v/>
      </c>
      <c r="G432" s="22" t="str">
        <f t="shared" si="34"/>
        <v/>
      </c>
      <c r="H432" s="49"/>
      <c r="I432" s="57" t="str">
        <f>IF(H432="","",MID(VLOOKUP(H432,Codigo_Material!$A$2:$C$9999,2,0),1,30))</f>
        <v/>
      </c>
      <c r="J432" s="57"/>
      <c r="K432" s="54" t="str">
        <f>IF(H432="","",MID(VLOOKUP(H432,Codigo_Material!$A$2:$C$6426,3,0),1,25))</f>
        <v/>
      </c>
      <c r="L432" s="19"/>
      <c r="M432" s="20"/>
      <c r="N432" s="1"/>
      <c r="O432" s="2"/>
      <c r="P432" s="58"/>
      <c r="Q432" s="58"/>
      <c r="R432" s="58"/>
      <c r="S432" s="55"/>
      <c r="T432" s="36"/>
    </row>
    <row r="433" spans="1:20" s="37" customFormat="1" x14ac:dyDescent="0.25">
      <c r="A433" s="33"/>
      <c r="B433" s="54" t="str">
        <f t="shared" si="30"/>
        <v>K4B6</v>
      </c>
      <c r="C433" s="56" t="str">
        <f t="shared" si="31"/>
        <v>OBRA</v>
      </c>
      <c r="D433" s="56"/>
      <c r="E433" s="54" t="str">
        <f t="shared" si="32"/>
        <v/>
      </c>
      <c r="F433" s="22" t="str">
        <f t="shared" si="33"/>
        <v/>
      </c>
      <c r="G433" s="22" t="str">
        <f t="shared" si="34"/>
        <v/>
      </c>
      <c r="H433" s="49"/>
      <c r="I433" s="57" t="str">
        <f>IF(H433="","",MID(VLOOKUP(H433,Codigo_Material!$A$2:$C$9999,2,0),1,30))</f>
        <v/>
      </c>
      <c r="J433" s="57"/>
      <c r="K433" s="54" t="str">
        <f>IF(H433="","",MID(VLOOKUP(H433,Codigo_Material!$A$2:$C$6426,3,0),1,25))</f>
        <v/>
      </c>
      <c r="L433" s="19"/>
      <c r="M433" s="20"/>
      <c r="N433" s="1"/>
      <c r="O433" s="2"/>
      <c r="P433" s="58"/>
      <c r="Q433" s="58"/>
      <c r="R433" s="58"/>
      <c r="S433" s="55"/>
      <c r="T433" s="36"/>
    </row>
    <row r="434" spans="1:20" s="37" customFormat="1" x14ac:dyDescent="0.25">
      <c r="A434" s="33"/>
      <c r="B434" s="54" t="str">
        <f t="shared" si="30"/>
        <v>K4B6</v>
      </c>
      <c r="C434" s="56" t="str">
        <f t="shared" si="31"/>
        <v>OBRA</v>
      </c>
      <c r="D434" s="56"/>
      <c r="E434" s="54" t="str">
        <f t="shared" si="32"/>
        <v/>
      </c>
      <c r="F434" s="22" t="str">
        <f t="shared" si="33"/>
        <v/>
      </c>
      <c r="G434" s="22" t="str">
        <f t="shared" si="34"/>
        <v/>
      </c>
      <c r="H434" s="49"/>
      <c r="I434" s="57" t="str">
        <f>IF(H434="","",MID(VLOOKUP(H434,Codigo_Material!$A$2:$C$9999,2,0),1,30))</f>
        <v/>
      </c>
      <c r="J434" s="57"/>
      <c r="K434" s="54" t="str">
        <f>IF(H434="","",MID(VLOOKUP(H434,Codigo_Material!$A$2:$C$6426,3,0),1,25))</f>
        <v/>
      </c>
      <c r="L434" s="19"/>
      <c r="M434" s="20"/>
      <c r="N434" s="1"/>
      <c r="O434" s="2"/>
      <c r="P434" s="58"/>
      <c r="Q434" s="58"/>
      <c r="R434" s="58"/>
      <c r="S434" s="55"/>
      <c r="T434" s="36"/>
    </row>
    <row r="435" spans="1:20" s="37" customFormat="1" x14ac:dyDescent="0.25">
      <c r="A435" s="33"/>
      <c r="B435" s="54" t="str">
        <f t="shared" si="30"/>
        <v>K4B6</v>
      </c>
      <c r="C435" s="56" t="str">
        <f t="shared" si="31"/>
        <v>OBRA</v>
      </c>
      <c r="D435" s="56"/>
      <c r="E435" s="54" t="str">
        <f t="shared" si="32"/>
        <v/>
      </c>
      <c r="F435" s="22" t="str">
        <f t="shared" si="33"/>
        <v/>
      </c>
      <c r="G435" s="22" t="str">
        <f t="shared" si="34"/>
        <v/>
      </c>
      <c r="H435" s="49"/>
      <c r="I435" s="57" t="str">
        <f>IF(H435="","",MID(VLOOKUP(H435,Codigo_Material!$A$2:$C$9999,2,0),1,30))</f>
        <v/>
      </c>
      <c r="J435" s="57"/>
      <c r="K435" s="54" t="str">
        <f>IF(H435="","",MID(VLOOKUP(H435,Codigo_Material!$A$2:$C$6426,3,0),1,25))</f>
        <v/>
      </c>
      <c r="L435" s="19"/>
      <c r="M435" s="20"/>
      <c r="N435" s="1"/>
      <c r="O435" s="2"/>
      <c r="P435" s="58"/>
      <c r="Q435" s="58"/>
      <c r="R435" s="58"/>
      <c r="S435" s="55"/>
      <c r="T435" s="36"/>
    </row>
    <row r="436" spans="1:20" s="37" customFormat="1" x14ac:dyDescent="0.25">
      <c r="A436" s="33"/>
      <c r="B436" s="54" t="str">
        <f t="shared" si="30"/>
        <v>K4B6</v>
      </c>
      <c r="C436" s="56" t="str">
        <f t="shared" si="31"/>
        <v>OBRA</v>
      </c>
      <c r="D436" s="56"/>
      <c r="E436" s="54" t="str">
        <f t="shared" si="32"/>
        <v/>
      </c>
      <c r="F436" s="22" t="str">
        <f t="shared" si="33"/>
        <v/>
      </c>
      <c r="G436" s="22" t="str">
        <f t="shared" si="34"/>
        <v/>
      </c>
      <c r="H436" s="49"/>
      <c r="I436" s="57" t="str">
        <f>IF(H436="","",MID(VLOOKUP(H436,Codigo_Material!$A$2:$C$9999,2,0),1,30))</f>
        <v/>
      </c>
      <c r="J436" s="57"/>
      <c r="K436" s="54" t="str">
        <f>IF(H436="","",MID(VLOOKUP(H436,Codigo_Material!$A$2:$C$6426,3,0),1,25))</f>
        <v/>
      </c>
      <c r="L436" s="19"/>
      <c r="M436" s="20"/>
      <c r="N436" s="1"/>
      <c r="O436" s="2"/>
      <c r="P436" s="58"/>
      <c r="Q436" s="58"/>
      <c r="R436" s="58"/>
      <c r="S436" s="55"/>
      <c r="T436" s="36"/>
    </row>
    <row r="437" spans="1:20" s="37" customFormat="1" x14ac:dyDescent="0.25">
      <c r="A437" s="33"/>
      <c r="B437" s="54" t="str">
        <f t="shared" si="30"/>
        <v>K4B6</v>
      </c>
      <c r="C437" s="56" t="str">
        <f t="shared" si="31"/>
        <v>OBRA</v>
      </c>
      <c r="D437" s="56"/>
      <c r="E437" s="54" t="str">
        <f t="shared" si="32"/>
        <v/>
      </c>
      <c r="F437" s="22" t="str">
        <f t="shared" si="33"/>
        <v/>
      </c>
      <c r="G437" s="22" t="str">
        <f t="shared" si="34"/>
        <v/>
      </c>
      <c r="H437" s="49"/>
      <c r="I437" s="57" t="str">
        <f>IF(H437="","",MID(VLOOKUP(H437,Codigo_Material!$A$2:$C$9999,2,0),1,30))</f>
        <v/>
      </c>
      <c r="J437" s="57"/>
      <c r="K437" s="54" t="str">
        <f>IF(H437="","",MID(VLOOKUP(H437,Codigo_Material!$A$2:$C$6426,3,0),1,25))</f>
        <v/>
      </c>
      <c r="L437" s="19"/>
      <c r="M437" s="20"/>
      <c r="N437" s="1"/>
      <c r="O437" s="2"/>
      <c r="P437" s="58"/>
      <c r="Q437" s="58"/>
      <c r="R437" s="58"/>
      <c r="S437" s="55"/>
      <c r="T437" s="36"/>
    </row>
    <row r="438" spans="1:20" s="37" customFormat="1" x14ac:dyDescent="0.25">
      <c r="A438" s="33"/>
      <c r="B438" s="54" t="str">
        <f t="shared" si="30"/>
        <v>K4B6</v>
      </c>
      <c r="C438" s="56" t="str">
        <f t="shared" si="31"/>
        <v>OBRA</v>
      </c>
      <c r="D438" s="56"/>
      <c r="E438" s="54" t="str">
        <f t="shared" si="32"/>
        <v/>
      </c>
      <c r="F438" s="22" t="str">
        <f t="shared" si="33"/>
        <v/>
      </c>
      <c r="G438" s="22" t="str">
        <f t="shared" si="34"/>
        <v/>
      </c>
      <c r="H438" s="49"/>
      <c r="I438" s="57" t="str">
        <f>IF(H438="","",MID(VLOOKUP(H438,Codigo_Material!$A$2:$C$9999,2,0),1,30))</f>
        <v/>
      </c>
      <c r="J438" s="57"/>
      <c r="K438" s="54" t="str">
        <f>IF(H438="","",MID(VLOOKUP(H438,Codigo_Material!$A$2:$C$6426,3,0),1,25))</f>
        <v/>
      </c>
      <c r="L438" s="19"/>
      <c r="M438" s="20"/>
      <c r="N438" s="1"/>
      <c r="O438" s="2"/>
      <c r="P438" s="58"/>
      <c r="Q438" s="58"/>
      <c r="R438" s="58"/>
      <c r="S438" s="55"/>
      <c r="T438" s="36"/>
    </row>
    <row r="439" spans="1:20" s="37" customFormat="1" x14ac:dyDescent="0.25">
      <c r="A439" s="33"/>
      <c r="B439" s="54" t="str">
        <f t="shared" si="30"/>
        <v>K4B6</v>
      </c>
      <c r="C439" s="56" t="str">
        <f t="shared" si="31"/>
        <v>OBRA</v>
      </c>
      <c r="D439" s="56"/>
      <c r="E439" s="54" t="str">
        <f t="shared" si="32"/>
        <v/>
      </c>
      <c r="F439" s="22" t="str">
        <f t="shared" si="33"/>
        <v/>
      </c>
      <c r="G439" s="22" t="str">
        <f t="shared" si="34"/>
        <v/>
      </c>
      <c r="H439" s="49"/>
      <c r="I439" s="57" t="str">
        <f>IF(H439="","",MID(VLOOKUP(H439,Codigo_Material!$A$2:$C$9999,2,0),1,30))</f>
        <v/>
      </c>
      <c r="J439" s="57"/>
      <c r="K439" s="54" t="str">
        <f>IF(H439="","",MID(VLOOKUP(H439,Codigo_Material!$A$2:$C$6426,3,0),1,25))</f>
        <v/>
      </c>
      <c r="L439" s="19"/>
      <c r="M439" s="20"/>
      <c r="N439" s="1"/>
      <c r="O439" s="2"/>
      <c r="P439" s="58"/>
      <c r="Q439" s="58"/>
      <c r="R439" s="58"/>
      <c r="S439" s="55"/>
      <c r="T439" s="36"/>
    </row>
    <row r="440" spans="1:20" s="37" customFormat="1" x14ac:dyDescent="0.25">
      <c r="A440" s="33"/>
      <c r="B440" s="54" t="str">
        <f t="shared" si="30"/>
        <v>K4B6</v>
      </c>
      <c r="C440" s="56" t="str">
        <f t="shared" si="31"/>
        <v>OBRA</v>
      </c>
      <c r="D440" s="56"/>
      <c r="E440" s="54" t="str">
        <f t="shared" si="32"/>
        <v/>
      </c>
      <c r="F440" s="22" t="str">
        <f t="shared" si="33"/>
        <v/>
      </c>
      <c r="G440" s="22" t="str">
        <f t="shared" si="34"/>
        <v/>
      </c>
      <c r="H440" s="49"/>
      <c r="I440" s="57" t="str">
        <f>IF(H440="","",MID(VLOOKUP(H440,Codigo_Material!$A$2:$C$9999,2,0),1,30))</f>
        <v/>
      </c>
      <c r="J440" s="57"/>
      <c r="K440" s="54" t="str">
        <f>IF(H440="","",MID(VLOOKUP(H440,Codigo_Material!$A$2:$C$6426,3,0),1,25))</f>
        <v/>
      </c>
      <c r="L440" s="19"/>
      <c r="M440" s="20"/>
      <c r="N440" s="1"/>
      <c r="O440" s="2"/>
      <c r="P440" s="58"/>
      <c r="Q440" s="58"/>
      <c r="R440" s="58"/>
      <c r="S440" s="55"/>
      <c r="T440" s="36"/>
    </row>
    <row r="441" spans="1:20" s="37" customFormat="1" x14ac:dyDescent="0.25">
      <c r="A441" s="33"/>
      <c r="B441" s="54" t="str">
        <f t="shared" si="30"/>
        <v>K4B6</v>
      </c>
      <c r="C441" s="56" t="str">
        <f t="shared" si="31"/>
        <v>OBRA</v>
      </c>
      <c r="D441" s="56"/>
      <c r="E441" s="54" t="str">
        <f t="shared" si="32"/>
        <v/>
      </c>
      <c r="F441" s="22" t="str">
        <f t="shared" si="33"/>
        <v/>
      </c>
      <c r="G441" s="22" t="str">
        <f t="shared" si="34"/>
        <v/>
      </c>
      <c r="H441" s="49"/>
      <c r="I441" s="57" t="str">
        <f>IF(H441="","",MID(VLOOKUP(H441,Codigo_Material!$A$2:$C$9999,2,0),1,30))</f>
        <v/>
      </c>
      <c r="J441" s="57"/>
      <c r="K441" s="54" t="str">
        <f>IF(H441="","",MID(VLOOKUP(H441,Codigo_Material!$A$2:$C$6426,3,0),1,25))</f>
        <v/>
      </c>
      <c r="L441" s="19"/>
      <c r="M441" s="20"/>
      <c r="N441" s="1"/>
      <c r="O441" s="2"/>
      <c r="P441" s="58"/>
      <c r="Q441" s="58"/>
      <c r="R441" s="58"/>
      <c r="S441" s="55"/>
      <c r="T441" s="36"/>
    </row>
    <row r="442" spans="1:20" s="37" customFormat="1" x14ac:dyDescent="0.25">
      <c r="A442" s="33"/>
      <c r="B442" s="54" t="str">
        <f t="shared" si="30"/>
        <v>K4B6</v>
      </c>
      <c r="C442" s="56" t="str">
        <f t="shared" si="31"/>
        <v>OBRA</v>
      </c>
      <c r="D442" s="56"/>
      <c r="E442" s="54" t="str">
        <f t="shared" si="32"/>
        <v/>
      </c>
      <c r="F442" s="22" t="str">
        <f t="shared" si="33"/>
        <v/>
      </c>
      <c r="G442" s="22" t="str">
        <f t="shared" si="34"/>
        <v/>
      </c>
      <c r="H442" s="49"/>
      <c r="I442" s="57" t="str">
        <f>IF(H442="","",MID(VLOOKUP(H442,Codigo_Material!$A$2:$C$9999,2,0),1,30))</f>
        <v/>
      </c>
      <c r="J442" s="57"/>
      <c r="K442" s="54" t="str">
        <f>IF(H442="","",MID(VLOOKUP(H442,Codigo_Material!$A$2:$C$6426,3,0),1,25))</f>
        <v/>
      </c>
      <c r="L442" s="19"/>
      <c r="M442" s="20"/>
      <c r="N442" s="1"/>
      <c r="O442" s="2"/>
      <c r="P442" s="58"/>
      <c r="Q442" s="58"/>
      <c r="R442" s="58"/>
      <c r="S442" s="55"/>
      <c r="T442" s="36"/>
    </row>
    <row r="443" spans="1:20" s="37" customFormat="1" x14ac:dyDescent="0.25">
      <c r="A443" s="33"/>
      <c r="B443" s="54" t="str">
        <f t="shared" si="30"/>
        <v>K4B6</v>
      </c>
      <c r="C443" s="56" t="str">
        <f t="shared" si="31"/>
        <v>OBRA</v>
      </c>
      <c r="D443" s="56"/>
      <c r="E443" s="54" t="str">
        <f t="shared" si="32"/>
        <v/>
      </c>
      <c r="F443" s="22" t="str">
        <f t="shared" si="33"/>
        <v/>
      </c>
      <c r="G443" s="22" t="str">
        <f t="shared" si="34"/>
        <v/>
      </c>
      <c r="H443" s="49"/>
      <c r="I443" s="57" t="str">
        <f>IF(H443="","",MID(VLOOKUP(H443,Codigo_Material!$A$2:$C$9999,2,0),1,30))</f>
        <v/>
      </c>
      <c r="J443" s="57"/>
      <c r="K443" s="54" t="str">
        <f>IF(H443="","",MID(VLOOKUP(H443,Codigo_Material!$A$2:$C$6426,3,0),1,25))</f>
        <v/>
      </c>
      <c r="L443" s="19"/>
      <c r="M443" s="20"/>
      <c r="N443" s="1"/>
      <c r="O443" s="2"/>
      <c r="P443" s="58"/>
      <c r="Q443" s="58"/>
      <c r="R443" s="58"/>
      <c r="S443" s="55"/>
      <c r="T443" s="36"/>
    </row>
    <row r="444" spans="1:20" s="37" customFormat="1" x14ac:dyDescent="0.25">
      <c r="A444" s="33"/>
      <c r="B444" s="54" t="str">
        <f t="shared" si="30"/>
        <v>K4B6</v>
      </c>
      <c r="C444" s="56" t="str">
        <f t="shared" si="31"/>
        <v>OBRA</v>
      </c>
      <c r="D444" s="56"/>
      <c r="E444" s="54" t="str">
        <f t="shared" si="32"/>
        <v/>
      </c>
      <c r="F444" s="22" t="str">
        <f t="shared" si="33"/>
        <v/>
      </c>
      <c r="G444" s="22" t="str">
        <f t="shared" si="34"/>
        <v/>
      </c>
      <c r="H444" s="49"/>
      <c r="I444" s="57" t="str">
        <f>IF(H444="","",MID(VLOOKUP(H444,Codigo_Material!$A$2:$C$9999,2,0),1,30))</f>
        <v/>
      </c>
      <c r="J444" s="57"/>
      <c r="K444" s="54" t="str">
        <f>IF(H444="","",MID(VLOOKUP(H444,Codigo_Material!$A$2:$C$6426,3,0),1,25))</f>
        <v/>
      </c>
      <c r="L444" s="19"/>
      <c r="M444" s="20"/>
      <c r="N444" s="1"/>
      <c r="O444" s="2"/>
      <c r="P444" s="58"/>
      <c r="Q444" s="58"/>
      <c r="R444" s="58"/>
      <c r="S444" s="55"/>
      <c r="T444" s="36"/>
    </row>
    <row r="445" spans="1:20" s="37" customFormat="1" x14ac:dyDescent="0.25">
      <c r="A445" s="33"/>
      <c r="B445" s="54" t="str">
        <f t="shared" si="30"/>
        <v>K4B6</v>
      </c>
      <c r="C445" s="56" t="str">
        <f t="shared" si="31"/>
        <v>OBRA</v>
      </c>
      <c r="D445" s="56"/>
      <c r="E445" s="54" t="str">
        <f t="shared" si="32"/>
        <v/>
      </c>
      <c r="F445" s="22" t="str">
        <f t="shared" si="33"/>
        <v/>
      </c>
      <c r="G445" s="22" t="str">
        <f t="shared" si="34"/>
        <v/>
      </c>
      <c r="H445" s="49"/>
      <c r="I445" s="57" t="str">
        <f>IF(H445="","",MID(VLOOKUP(H445,Codigo_Material!$A$2:$C$9999,2,0),1,30))</f>
        <v/>
      </c>
      <c r="J445" s="57"/>
      <c r="K445" s="54" t="str">
        <f>IF(H445="","",MID(VLOOKUP(H445,Codigo_Material!$A$2:$C$6426,3,0),1,25))</f>
        <v/>
      </c>
      <c r="L445" s="19"/>
      <c r="M445" s="20"/>
      <c r="N445" s="1"/>
      <c r="O445" s="2"/>
      <c r="P445" s="58"/>
      <c r="Q445" s="58"/>
      <c r="R445" s="58"/>
      <c r="S445" s="55"/>
      <c r="T445" s="36"/>
    </row>
    <row r="446" spans="1:20" s="37" customFormat="1" x14ac:dyDescent="0.25">
      <c r="A446" s="33"/>
      <c r="B446" s="54" t="str">
        <f t="shared" si="30"/>
        <v>K4B6</v>
      </c>
      <c r="C446" s="56" t="str">
        <f t="shared" si="31"/>
        <v>OBRA</v>
      </c>
      <c r="D446" s="56"/>
      <c r="E446" s="54" t="str">
        <f t="shared" si="32"/>
        <v/>
      </c>
      <c r="F446" s="22" t="str">
        <f t="shared" si="33"/>
        <v/>
      </c>
      <c r="G446" s="22" t="str">
        <f t="shared" si="34"/>
        <v/>
      </c>
      <c r="H446" s="49"/>
      <c r="I446" s="57" t="str">
        <f>IF(H446="","",MID(VLOOKUP(H446,Codigo_Material!$A$2:$C$9999,2,0),1,30))</f>
        <v/>
      </c>
      <c r="J446" s="57"/>
      <c r="K446" s="54" t="str">
        <f>IF(H446="","",MID(VLOOKUP(H446,Codigo_Material!$A$2:$C$6426,3,0),1,25))</f>
        <v/>
      </c>
      <c r="L446" s="19"/>
      <c r="M446" s="20"/>
      <c r="N446" s="1"/>
      <c r="O446" s="2"/>
      <c r="P446" s="58"/>
      <c r="Q446" s="58"/>
      <c r="R446" s="58"/>
      <c r="S446" s="55"/>
      <c r="T446" s="36"/>
    </row>
    <row r="447" spans="1:20" s="37" customFormat="1" x14ac:dyDescent="0.25">
      <c r="A447" s="33"/>
      <c r="B447" s="54" t="str">
        <f t="shared" si="30"/>
        <v>K4B6</v>
      </c>
      <c r="C447" s="56" t="str">
        <f t="shared" si="31"/>
        <v>OBRA</v>
      </c>
      <c r="D447" s="56"/>
      <c r="E447" s="54" t="str">
        <f t="shared" si="32"/>
        <v/>
      </c>
      <c r="F447" s="22" t="str">
        <f t="shared" si="33"/>
        <v/>
      </c>
      <c r="G447" s="22" t="str">
        <f t="shared" si="34"/>
        <v/>
      </c>
      <c r="H447" s="49"/>
      <c r="I447" s="57" t="str">
        <f>IF(H447="","",MID(VLOOKUP(H447,Codigo_Material!$A$2:$C$9999,2,0),1,30))</f>
        <v/>
      </c>
      <c r="J447" s="57"/>
      <c r="K447" s="54" t="str">
        <f>IF(H447="","",MID(VLOOKUP(H447,Codigo_Material!$A$2:$C$6426,3,0),1,25))</f>
        <v/>
      </c>
      <c r="L447" s="19"/>
      <c r="M447" s="20"/>
      <c r="N447" s="1"/>
      <c r="O447" s="2"/>
      <c r="P447" s="58"/>
      <c r="Q447" s="58"/>
      <c r="R447" s="58"/>
      <c r="S447" s="55"/>
      <c r="T447" s="36"/>
    </row>
    <row r="448" spans="1:20" s="37" customFormat="1" x14ac:dyDescent="0.25">
      <c r="A448" s="33"/>
      <c r="B448" s="54" t="str">
        <f t="shared" si="30"/>
        <v>K4B6</v>
      </c>
      <c r="C448" s="56" t="str">
        <f t="shared" si="31"/>
        <v>OBRA</v>
      </c>
      <c r="D448" s="56"/>
      <c r="E448" s="54" t="str">
        <f t="shared" si="32"/>
        <v/>
      </c>
      <c r="F448" s="22" t="str">
        <f t="shared" si="33"/>
        <v/>
      </c>
      <c r="G448" s="22" t="str">
        <f t="shared" si="34"/>
        <v/>
      </c>
      <c r="H448" s="49"/>
      <c r="I448" s="57" t="str">
        <f>IF(H448="","",MID(VLOOKUP(H448,Codigo_Material!$A$2:$C$9999,2,0),1,30))</f>
        <v/>
      </c>
      <c r="J448" s="57"/>
      <c r="K448" s="54" t="str">
        <f>IF(H448="","",MID(VLOOKUP(H448,Codigo_Material!$A$2:$C$6426,3,0),1,25))</f>
        <v/>
      </c>
      <c r="L448" s="19"/>
      <c r="M448" s="20"/>
      <c r="N448" s="1"/>
      <c r="O448" s="2"/>
      <c r="P448" s="58"/>
      <c r="Q448" s="58"/>
      <c r="R448" s="58"/>
      <c r="S448" s="55"/>
      <c r="T448" s="36"/>
    </row>
    <row r="449" spans="1:20" s="37" customFormat="1" x14ac:dyDescent="0.25">
      <c r="A449" s="33"/>
      <c r="B449" s="54" t="str">
        <f t="shared" si="30"/>
        <v>K4B6</v>
      </c>
      <c r="C449" s="56" t="str">
        <f t="shared" si="31"/>
        <v>OBRA</v>
      </c>
      <c r="D449" s="56"/>
      <c r="E449" s="54" t="str">
        <f t="shared" si="32"/>
        <v/>
      </c>
      <c r="F449" s="22" t="str">
        <f t="shared" si="33"/>
        <v/>
      </c>
      <c r="G449" s="22" t="str">
        <f t="shared" si="34"/>
        <v/>
      </c>
      <c r="H449" s="49"/>
      <c r="I449" s="57" t="str">
        <f>IF(H449="","",MID(VLOOKUP(H449,Codigo_Material!$A$2:$C$9999,2,0),1,30))</f>
        <v/>
      </c>
      <c r="J449" s="57"/>
      <c r="K449" s="54" t="str">
        <f>IF(H449="","",MID(VLOOKUP(H449,Codigo_Material!$A$2:$C$6426,3,0),1,25))</f>
        <v/>
      </c>
      <c r="L449" s="19"/>
      <c r="M449" s="20"/>
      <c r="N449" s="1"/>
      <c r="O449" s="2"/>
      <c r="P449" s="58"/>
      <c r="Q449" s="58"/>
      <c r="R449" s="58"/>
      <c r="S449" s="55"/>
      <c r="T449" s="36"/>
    </row>
    <row r="450" spans="1:20" s="37" customFormat="1" x14ac:dyDescent="0.25">
      <c r="A450" s="33"/>
      <c r="B450" s="54" t="str">
        <f t="shared" si="30"/>
        <v>K4B6</v>
      </c>
      <c r="C450" s="56" t="str">
        <f t="shared" si="31"/>
        <v>OBRA</v>
      </c>
      <c r="D450" s="56"/>
      <c r="E450" s="54" t="str">
        <f t="shared" si="32"/>
        <v/>
      </c>
      <c r="F450" s="22" t="str">
        <f t="shared" si="33"/>
        <v/>
      </c>
      <c r="G450" s="22" t="str">
        <f t="shared" si="34"/>
        <v/>
      </c>
      <c r="H450" s="49"/>
      <c r="I450" s="57" t="str">
        <f>IF(H450="","",MID(VLOOKUP(H450,Codigo_Material!$A$2:$C$9999,2,0),1,30))</f>
        <v/>
      </c>
      <c r="J450" s="57"/>
      <c r="K450" s="54" t="str">
        <f>IF(H450="","",MID(VLOOKUP(H450,Codigo_Material!$A$2:$C$6426,3,0),1,25))</f>
        <v/>
      </c>
      <c r="L450" s="19"/>
      <c r="M450" s="20"/>
      <c r="N450" s="1"/>
      <c r="O450" s="2"/>
      <c r="P450" s="58"/>
      <c r="Q450" s="58"/>
      <c r="R450" s="58"/>
      <c r="S450" s="55"/>
      <c r="T450" s="36"/>
    </row>
    <row r="451" spans="1:20" s="37" customFormat="1" x14ac:dyDescent="0.25">
      <c r="A451" s="33"/>
      <c r="B451" s="54" t="str">
        <f t="shared" si="30"/>
        <v>K4B6</v>
      </c>
      <c r="C451" s="56" t="str">
        <f t="shared" si="31"/>
        <v>OBRA</v>
      </c>
      <c r="D451" s="56"/>
      <c r="E451" s="54" t="str">
        <f t="shared" si="32"/>
        <v/>
      </c>
      <c r="F451" s="22" t="str">
        <f t="shared" si="33"/>
        <v/>
      </c>
      <c r="G451" s="22" t="str">
        <f t="shared" si="34"/>
        <v/>
      </c>
      <c r="H451" s="49"/>
      <c r="I451" s="57" t="str">
        <f>IF(H451="","",MID(VLOOKUP(H451,Codigo_Material!$A$2:$C$9999,2,0),1,30))</f>
        <v/>
      </c>
      <c r="J451" s="57"/>
      <c r="K451" s="54" t="str">
        <f>IF(H451="","",MID(VLOOKUP(H451,Codigo_Material!$A$2:$C$6426,3,0),1,25))</f>
        <v/>
      </c>
      <c r="L451" s="19"/>
      <c r="M451" s="20"/>
      <c r="N451" s="1"/>
      <c r="O451" s="2"/>
      <c r="P451" s="58"/>
      <c r="Q451" s="58"/>
      <c r="R451" s="58"/>
      <c r="S451" s="55"/>
      <c r="T451" s="36"/>
    </row>
    <row r="452" spans="1:20" s="37" customFormat="1" x14ac:dyDescent="0.25">
      <c r="A452" s="33"/>
      <c r="B452" s="54" t="str">
        <f t="shared" si="30"/>
        <v>K4B6</v>
      </c>
      <c r="C452" s="56" t="str">
        <f t="shared" si="31"/>
        <v>OBRA</v>
      </c>
      <c r="D452" s="56"/>
      <c r="E452" s="54" t="str">
        <f t="shared" si="32"/>
        <v/>
      </c>
      <c r="F452" s="22" t="str">
        <f t="shared" si="33"/>
        <v/>
      </c>
      <c r="G452" s="22" t="str">
        <f t="shared" si="34"/>
        <v/>
      </c>
      <c r="H452" s="49"/>
      <c r="I452" s="57" t="str">
        <f>IF(H452="","",MID(VLOOKUP(H452,Codigo_Material!$A$2:$C$9999,2,0),1,30))</f>
        <v/>
      </c>
      <c r="J452" s="57"/>
      <c r="K452" s="54" t="str">
        <f>IF(H452="","",MID(VLOOKUP(H452,Codigo_Material!$A$2:$C$6426,3,0),1,25))</f>
        <v/>
      </c>
      <c r="L452" s="19"/>
      <c r="M452" s="20"/>
      <c r="N452" s="1"/>
      <c r="O452" s="2"/>
      <c r="P452" s="58"/>
      <c r="Q452" s="58"/>
      <c r="R452" s="58"/>
      <c r="S452" s="55"/>
      <c r="T452" s="36"/>
    </row>
    <row r="453" spans="1:20" s="37" customFormat="1" x14ac:dyDescent="0.25">
      <c r="A453" s="33"/>
      <c r="B453" s="54" t="str">
        <f t="shared" si="30"/>
        <v>K4B6</v>
      </c>
      <c r="C453" s="56" t="str">
        <f t="shared" si="31"/>
        <v>OBRA</v>
      </c>
      <c r="D453" s="56"/>
      <c r="E453" s="54" t="str">
        <f t="shared" si="32"/>
        <v/>
      </c>
      <c r="F453" s="22" t="str">
        <f t="shared" si="33"/>
        <v/>
      </c>
      <c r="G453" s="22" t="str">
        <f t="shared" si="34"/>
        <v/>
      </c>
      <c r="H453" s="49"/>
      <c r="I453" s="57" t="str">
        <f>IF(H453="","",MID(VLOOKUP(H453,Codigo_Material!$A$2:$C$9999,2,0),1,30))</f>
        <v/>
      </c>
      <c r="J453" s="57"/>
      <c r="K453" s="54" t="str">
        <f>IF(H453="","",MID(VLOOKUP(H453,Codigo_Material!$A$2:$C$6426,3,0),1,25))</f>
        <v/>
      </c>
      <c r="L453" s="19"/>
      <c r="M453" s="20"/>
      <c r="N453" s="1"/>
      <c r="O453" s="2"/>
      <c r="P453" s="58"/>
      <c r="Q453" s="58"/>
      <c r="R453" s="58"/>
      <c r="S453" s="55"/>
      <c r="T453" s="36"/>
    </row>
    <row r="454" spans="1:20" s="37" customFormat="1" x14ac:dyDescent="0.25">
      <c r="A454" s="33"/>
      <c r="B454" s="54" t="str">
        <f t="shared" si="30"/>
        <v>K4B6</v>
      </c>
      <c r="C454" s="56" t="str">
        <f t="shared" si="31"/>
        <v>OBRA</v>
      </c>
      <c r="D454" s="56"/>
      <c r="E454" s="54" t="str">
        <f t="shared" si="32"/>
        <v/>
      </c>
      <c r="F454" s="22" t="str">
        <f t="shared" si="33"/>
        <v/>
      </c>
      <c r="G454" s="22" t="str">
        <f t="shared" si="34"/>
        <v/>
      </c>
      <c r="H454" s="49"/>
      <c r="I454" s="57" t="str">
        <f>IF(H454="","",MID(VLOOKUP(H454,Codigo_Material!$A$2:$C$9999,2,0),1,30))</f>
        <v/>
      </c>
      <c r="J454" s="57"/>
      <c r="K454" s="54" t="str">
        <f>IF(H454="","",MID(VLOOKUP(H454,Codigo_Material!$A$2:$C$6426,3,0),1,25))</f>
        <v/>
      </c>
      <c r="L454" s="19"/>
      <c r="M454" s="20"/>
      <c r="N454" s="1"/>
      <c r="O454" s="2"/>
      <c r="P454" s="58"/>
      <c r="Q454" s="58"/>
      <c r="R454" s="58"/>
      <c r="S454" s="55"/>
      <c r="T454" s="36"/>
    </row>
    <row r="455" spans="1:20" s="37" customFormat="1" x14ac:dyDescent="0.25">
      <c r="A455" s="33"/>
      <c r="B455" s="54" t="str">
        <f t="shared" si="30"/>
        <v>K4B6</v>
      </c>
      <c r="C455" s="56" t="str">
        <f t="shared" si="31"/>
        <v>OBRA</v>
      </c>
      <c r="D455" s="56"/>
      <c r="E455" s="54" t="str">
        <f t="shared" si="32"/>
        <v/>
      </c>
      <c r="F455" s="22" t="str">
        <f t="shared" si="33"/>
        <v/>
      </c>
      <c r="G455" s="22" t="str">
        <f t="shared" si="34"/>
        <v/>
      </c>
      <c r="H455" s="49"/>
      <c r="I455" s="57" t="str">
        <f>IF(H455="","",MID(VLOOKUP(H455,Codigo_Material!$A$2:$C$9999,2,0),1,30))</f>
        <v/>
      </c>
      <c r="J455" s="57"/>
      <c r="K455" s="54" t="str">
        <f>IF(H455="","",MID(VLOOKUP(H455,Codigo_Material!$A$2:$C$6426,3,0),1,25))</f>
        <v/>
      </c>
      <c r="L455" s="19"/>
      <c r="M455" s="20"/>
      <c r="N455" s="1"/>
      <c r="O455" s="2"/>
      <c r="P455" s="58"/>
      <c r="Q455" s="58"/>
      <c r="R455" s="58"/>
      <c r="S455" s="55"/>
      <c r="T455" s="36"/>
    </row>
    <row r="456" spans="1:20" s="37" customFormat="1" x14ac:dyDescent="0.25">
      <c r="A456" s="33"/>
      <c r="B456" s="54" t="str">
        <f t="shared" si="30"/>
        <v>K4B6</v>
      </c>
      <c r="C456" s="56" t="str">
        <f t="shared" si="31"/>
        <v>OBRA</v>
      </c>
      <c r="D456" s="56"/>
      <c r="E456" s="54" t="str">
        <f t="shared" si="32"/>
        <v/>
      </c>
      <c r="F456" s="22" t="str">
        <f t="shared" si="33"/>
        <v/>
      </c>
      <c r="G456" s="22" t="str">
        <f t="shared" si="34"/>
        <v/>
      </c>
      <c r="H456" s="49"/>
      <c r="I456" s="57" t="str">
        <f>IF(H456="","",MID(VLOOKUP(H456,Codigo_Material!$A$2:$C$9999,2,0),1,30))</f>
        <v/>
      </c>
      <c r="J456" s="57"/>
      <c r="K456" s="54" t="str">
        <f>IF(H456="","",MID(VLOOKUP(H456,Codigo_Material!$A$2:$C$6426,3,0),1,25))</f>
        <v/>
      </c>
      <c r="L456" s="19"/>
      <c r="M456" s="20"/>
      <c r="N456" s="1"/>
      <c r="O456" s="2"/>
      <c r="P456" s="58"/>
      <c r="Q456" s="58"/>
      <c r="R456" s="58"/>
      <c r="S456" s="55"/>
      <c r="T456" s="36"/>
    </row>
    <row r="457" spans="1:20" s="37" customFormat="1" x14ac:dyDescent="0.25">
      <c r="A457" s="33"/>
      <c r="B457" s="54" t="str">
        <f t="shared" si="30"/>
        <v>K4B6</v>
      </c>
      <c r="C457" s="56" t="str">
        <f t="shared" si="31"/>
        <v>OBRA</v>
      </c>
      <c r="D457" s="56"/>
      <c r="E457" s="54" t="str">
        <f t="shared" si="32"/>
        <v/>
      </c>
      <c r="F457" s="22" t="str">
        <f t="shared" si="33"/>
        <v/>
      </c>
      <c r="G457" s="22" t="str">
        <f t="shared" si="34"/>
        <v/>
      </c>
      <c r="H457" s="49"/>
      <c r="I457" s="57" t="str">
        <f>IF(H457="","",MID(VLOOKUP(H457,Codigo_Material!$A$2:$C$9999,2,0),1,30))</f>
        <v/>
      </c>
      <c r="J457" s="57"/>
      <c r="K457" s="54" t="str">
        <f>IF(H457="","",MID(VLOOKUP(H457,Codigo_Material!$A$2:$C$6426,3,0),1,25))</f>
        <v/>
      </c>
      <c r="L457" s="19"/>
      <c r="M457" s="20"/>
      <c r="N457" s="1"/>
      <c r="O457" s="2"/>
      <c r="P457" s="58"/>
      <c r="Q457" s="58"/>
      <c r="R457" s="58"/>
      <c r="S457" s="55"/>
      <c r="T457" s="36"/>
    </row>
    <row r="458" spans="1:20" s="37" customFormat="1" x14ac:dyDescent="0.25">
      <c r="A458" s="33"/>
      <c r="B458" s="54" t="str">
        <f t="shared" si="30"/>
        <v>K4B6</v>
      </c>
      <c r="C458" s="56" t="str">
        <f t="shared" si="31"/>
        <v>OBRA</v>
      </c>
      <c r="D458" s="56"/>
      <c r="E458" s="54" t="str">
        <f t="shared" si="32"/>
        <v/>
      </c>
      <c r="F458" s="22" t="str">
        <f t="shared" si="33"/>
        <v/>
      </c>
      <c r="G458" s="22" t="str">
        <f t="shared" si="34"/>
        <v/>
      </c>
      <c r="H458" s="49"/>
      <c r="I458" s="57" t="str">
        <f>IF(H458="","",MID(VLOOKUP(H458,Codigo_Material!$A$2:$C$9999,2,0),1,30))</f>
        <v/>
      </c>
      <c r="J458" s="57"/>
      <c r="K458" s="54" t="str">
        <f>IF(H458="","",MID(VLOOKUP(H458,Codigo_Material!$A$2:$C$6426,3,0),1,25))</f>
        <v/>
      </c>
      <c r="L458" s="19"/>
      <c r="M458" s="20"/>
      <c r="N458" s="1"/>
      <c r="O458" s="2"/>
      <c r="P458" s="58"/>
      <c r="Q458" s="58"/>
      <c r="R458" s="58"/>
      <c r="S458" s="55"/>
      <c r="T458" s="36"/>
    </row>
    <row r="459" spans="1:20" s="37" customFormat="1" x14ac:dyDescent="0.25">
      <c r="A459" s="33"/>
      <c r="B459" s="54" t="str">
        <f t="shared" ref="B459:B500" si="35">IF($D$5="","",$D$5)</f>
        <v>K4B6</v>
      </c>
      <c r="C459" s="56" t="str">
        <f t="shared" ref="C459:C500" si="36">IF($F$5="","",$F$5)</f>
        <v>OBRA</v>
      </c>
      <c r="D459" s="56"/>
      <c r="E459" s="54" t="str">
        <f t="shared" ref="E459:E500" si="37">IF($H$5="","",$H$5)</f>
        <v/>
      </c>
      <c r="F459" s="22" t="str">
        <f t="shared" ref="F459:F500" si="38">IF($P$7="","",$P$7)</f>
        <v/>
      </c>
      <c r="G459" s="22" t="str">
        <f t="shared" ref="G459:G500" si="39">IF($K$7="","",$K$7)</f>
        <v/>
      </c>
      <c r="H459" s="49"/>
      <c r="I459" s="57" t="str">
        <f>IF(H459="","",MID(VLOOKUP(H459,Codigo_Material!$A$2:$C$9999,2,0),1,30))</f>
        <v/>
      </c>
      <c r="J459" s="57"/>
      <c r="K459" s="54" t="str">
        <f>IF(H459="","",MID(VLOOKUP(H459,Codigo_Material!$A$2:$C$6426,3,0),1,25))</f>
        <v/>
      </c>
      <c r="L459" s="19"/>
      <c r="M459" s="20"/>
      <c r="N459" s="1"/>
      <c r="O459" s="2"/>
      <c r="P459" s="58"/>
      <c r="Q459" s="58"/>
      <c r="R459" s="58"/>
      <c r="S459" s="55"/>
      <c r="T459" s="36"/>
    </row>
    <row r="460" spans="1:20" s="37" customFormat="1" x14ac:dyDescent="0.25">
      <c r="A460" s="33"/>
      <c r="B460" s="54" t="str">
        <f t="shared" si="35"/>
        <v>K4B6</v>
      </c>
      <c r="C460" s="56" t="str">
        <f t="shared" si="36"/>
        <v>OBRA</v>
      </c>
      <c r="D460" s="56"/>
      <c r="E460" s="54" t="str">
        <f t="shared" si="37"/>
        <v/>
      </c>
      <c r="F460" s="22" t="str">
        <f t="shared" si="38"/>
        <v/>
      </c>
      <c r="G460" s="22" t="str">
        <f t="shared" si="39"/>
        <v/>
      </c>
      <c r="H460" s="49"/>
      <c r="I460" s="57" t="str">
        <f>IF(H460="","",MID(VLOOKUP(H460,Codigo_Material!$A$2:$C$9999,2,0),1,30))</f>
        <v/>
      </c>
      <c r="J460" s="57"/>
      <c r="K460" s="54" t="str">
        <f>IF(H460="","",MID(VLOOKUP(H460,Codigo_Material!$A$2:$C$6426,3,0),1,25))</f>
        <v/>
      </c>
      <c r="L460" s="19"/>
      <c r="M460" s="20"/>
      <c r="N460" s="1"/>
      <c r="O460" s="2"/>
      <c r="P460" s="58"/>
      <c r="Q460" s="58"/>
      <c r="R460" s="58"/>
      <c r="S460" s="55"/>
      <c r="T460" s="36"/>
    </row>
    <row r="461" spans="1:20" s="37" customFormat="1" x14ac:dyDescent="0.25">
      <c r="A461" s="33"/>
      <c r="B461" s="54" t="str">
        <f t="shared" si="35"/>
        <v>K4B6</v>
      </c>
      <c r="C461" s="56" t="str">
        <f t="shared" si="36"/>
        <v>OBRA</v>
      </c>
      <c r="D461" s="56"/>
      <c r="E461" s="54" t="str">
        <f t="shared" si="37"/>
        <v/>
      </c>
      <c r="F461" s="22" t="str">
        <f t="shared" si="38"/>
        <v/>
      </c>
      <c r="G461" s="22" t="str">
        <f t="shared" si="39"/>
        <v/>
      </c>
      <c r="H461" s="49"/>
      <c r="I461" s="57" t="str">
        <f>IF(H461="","",MID(VLOOKUP(H461,Codigo_Material!$A$2:$C$9999,2,0),1,30))</f>
        <v/>
      </c>
      <c r="J461" s="57"/>
      <c r="K461" s="54" t="str">
        <f>IF(H461="","",MID(VLOOKUP(H461,Codigo_Material!$A$2:$C$6426,3,0),1,25))</f>
        <v/>
      </c>
      <c r="L461" s="19"/>
      <c r="M461" s="20"/>
      <c r="N461" s="1"/>
      <c r="O461" s="2"/>
      <c r="P461" s="58"/>
      <c r="Q461" s="58"/>
      <c r="R461" s="58"/>
      <c r="S461" s="55"/>
      <c r="T461" s="36"/>
    </row>
    <row r="462" spans="1:20" s="37" customFormat="1" x14ac:dyDescent="0.25">
      <c r="A462" s="33"/>
      <c r="B462" s="54" t="str">
        <f t="shared" si="35"/>
        <v>K4B6</v>
      </c>
      <c r="C462" s="56" t="str">
        <f t="shared" si="36"/>
        <v>OBRA</v>
      </c>
      <c r="D462" s="56"/>
      <c r="E462" s="54" t="str">
        <f t="shared" si="37"/>
        <v/>
      </c>
      <c r="F462" s="22" t="str">
        <f t="shared" si="38"/>
        <v/>
      </c>
      <c r="G462" s="22" t="str">
        <f t="shared" si="39"/>
        <v/>
      </c>
      <c r="H462" s="49"/>
      <c r="I462" s="57" t="str">
        <f>IF(H462="","",MID(VLOOKUP(H462,Codigo_Material!$A$2:$C$9999,2,0),1,30))</f>
        <v/>
      </c>
      <c r="J462" s="57"/>
      <c r="K462" s="54" t="str">
        <f>IF(H462="","",MID(VLOOKUP(H462,Codigo_Material!$A$2:$C$6426,3,0),1,25))</f>
        <v/>
      </c>
      <c r="L462" s="19"/>
      <c r="M462" s="20"/>
      <c r="N462" s="1"/>
      <c r="O462" s="2"/>
      <c r="P462" s="58"/>
      <c r="Q462" s="58"/>
      <c r="R462" s="58"/>
      <c r="S462" s="55"/>
      <c r="T462" s="36"/>
    </row>
    <row r="463" spans="1:20" s="37" customFormat="1" x14ac:dyDescent="0.25">
      <c r="A463" s="33"/>
      <c r="B463" s="54" t="str">
        <f t="shared" si="35"/>
        <v>K4B6</v>
      </c>
      <c r="C463" s="56" t="str">
        <f t="shared" si="36"/>
        <v>OBRA</v>
      </c>
      <c r="D463" s="56"/>
      <c r="E463" s="54" t="str">
        <f t="shared" si="37"/>
        <v/>
      </c>
      <c r="F463" s="22" t="str">
        <f t="shared" si="38"/>
        <v/>
      </c>
      <c r="G463" s="22" t="str">
        <f t="shared" si="39"/>
        <v/>
      </c>
      <c r="H463" s="49"/>
      <c r="I463" s="57" t="str">
        <f>IF(H463="","",MID(VLOOKUP(H463,Codigo_Material!$A$2:$C$9999,2,0),1,30))</f>
        <v/>
      </c>
      <c r="J463" s="57"/>
      <c r="K463" s="54" t="str">
        <f>IF(H463="","",MID(VLOOKUP(H463,Codigo_Material!$A$2:$C$6426,3,0),1,25))</f>
        <v/>
      </c>
      <c r="L463" s="19"/>
      <c r="M463" s="20"/>
      <c r="N463" s="1"/>
      <c r="O463" s="2"/>
      <c r="P463" s="58"/>
      <c r="Q463" s="58"/>
      <c r="R463" s="58"/>
      <c r="S463" s="55"/>
      <c r="T463" s="36"/>
    </row>
    <row r="464" spans="1:20" s="37" customFormat="1" x14ac:dyDescent="0.25">
      <c r="A464" s="33"/>
      <c r="B464" s="54" t="str">
        <f t="shared" si="35"/>
        <v>K4B6</v>
      </c>
      <c r="C464" s="56" t="str">
        <f t="shared" si="36"/>
        <v>OBRA</v>
      </c>
      <c r="D464" s="56"/>
      <c r="E464" s="54" t="str">
        <f t="shared" si="37"/>
        <v/>
      </c>
      <c r="F464" s="22" t="str">
        <f t="shared" si="38"/>
        <v/>
      </c>
      <c r="G464" s="22" t="str">
        <f t="shared" si="39"/>
        <v/>
      </c>
      <c r="H464" s="49"/>
      <c r="I464" s="57" t="str">
        <f>IF(H464="","",MID(VLOOKUP(H464,Codigo_Material!$A$2:$C$9999,2,0),1,30))</f>
        <v/>
      </c>
      <c r="J464" s="57"/>
      <c r="K464" s="54" t="str">
        <f>IF(H464="","",MID(VLOOKUP(H464,Codigo_Material!$A$2:$C$6426,3,0),1,25))</f>
        <v/>
      </c>
      <c r="L464" s="19"/>
      <c r="M464" s="20"/>
      <c r="N464" s="1"/>
      <c r="O464" s="2"/>
      <c r="P464" s="58"/>
      <c r="Q464" s="58"/>
      <c r="R464" s="58"/>
      <c r="S464" s="55"/>
      <c r="T464" s="36"/>
    </row>
    <row r="465" spans="1:20" s="37" customFormat="1" x14ac:dyDescent="0.25">
      <c r="A465" s="33"/>
      <c r="B465" s="54" t="str">
        <f t="shared" si="35"/>
        <v>K4B6</v>
      </c>
      <c r="C465" s="56" t="str">
        <f t="shared" si="36"/>
        <v>OBRA</v>
      </c>
      <c r="D465" s="56"/>
      <c r="E465" s="54" t="str">
        <f t="shared" si="37"/>
        <v/>
      </c>
      <c r="F465" s="22" t="str">
        <f t="shared" si="38"/>
        <v/>
      </c>
      <c r="G465" s="22" t="str">
        <f t="shared" si="39"/>
        <v/>
      </c>
      <c r="H465" s="49"/>
      <c r="I465" s="57" t="str">
        <f>IF(H465="","",MID(VLOOKUP(H465,Codigo_Material!$A$2:$C$9999,2,0),1,30))</f>
        <v/>
      </c>
      <c r="J465" s="57"/>
      <c r="K465" s="54" t="str">
        <f>IF(H465="","",MID(VLOOKUP(H465,Codigo_Material!$A$2:$C$6426,3,0),1,25))</f>
        <v/>
      </c>
      <c r="L465" s="19"/>
      <c r="M465" s="20"/>
      <c r="N465" s="1"/>
      <c r="O465" s="2"/>
      <c r="P465" s="58"/>
      <c r="Q465" s="58"/>
      <c r="R465" s="58"/>
      <c r="S465" s="55"/>
      <c r="T465" s="36"/>
    </row>
    <row r="466" spans="1:20" s="37" customFormat="1" x14ac:dyDescent="0.25">
      <c r="A466" s="33"/>
      <c r="B466" s="54" t="str">
        <f t="shared" si="35"/>
        <v>K4B6</v>
      </c>
      <c r="C466" s="56" t="str">
        <f t="shared" si="36"/>
        <v>OBRA</v>
      </c>
      <c r="D466" s="56"/>
      <c r="E466" s="54" t="str">
        <f t="shared" si="37"/>
        <v/>
      </c>
      <c r="F466" s="22" t="str">
        <f t="shared" si="38"/>
        <v/>
      </c>
      <c r="G466" s="22" t="str">
        <f t="shared" si="39"/>
        <v/>
      </c>
      <c r="H466" s="49"/>
      <c r="I466" s="57" t="str">
        <f>IF(H466="","",MID(VLOOKUP(H466,Codigo_Material!$A$2:$C$9999,2,0),1,30))</f>
        <v/>
      </c>
      <c r="J466" s="57"/>
      <c r="K466" s="54" t="str">
        <f>IF(H466="","",MID(VLOOKUP(H466,Codigo_Material!$A$2:$C$6426,3,0),1,25))</f>
        <v/>
      </c>
      <c r="L466" s="19"/>
      <c r="M466" s="20"/>
      <c r="N466" s="1"/>
      <c r="O466" s="2"/>
      <c r="P466" s="58"/>
      <c r="Q466" s="58"/>
      <c r="R466" s="58"/>
      <c r="S466" s="55"/>
      <c r="T466" s="36"/>
    </row>
    <row r="467" spans="1:20" s="37" customFormat="1" x14ac:dyDescent="0.25">
      <c r="A467" s="33"/>
      <c r="B467" s="54" t="str">
        <f t="shared" si="35"/>
        <v>K4B6</v>
      </c>
      <c r="C467" s="56" t="str">
        <f t="shared" si="36"/>
        <v>OBRA</v>
      </c>
      <c r="D467" s="56"/>
      <c r="E467" s="54" t="str">
        <f t="shared" si="37"/>
        <v/>
      </c>
      <c r="F467" s="22" t="str">
        <f t="shared" si="38"/>
        <v/>
      </c>
      <c r="G467" s="22" t="str">
        <f t="shared" si="39"/>
        <v/>
      </c>
      <c r="H467" s="49"/>
      <c r="I467" s="57" t="str">
        <f>IF(H467="","",MID(VLOOKUP(H467,Codigo_Material!$A$2:$C$9999,2,0),1,30))</f>
        <v/>
      </c>
      <c r="J467" s="57"/>
      <c r="K467" s="54" t="str">
        <f>IF(H467="","",MID(VLOOKUP(H467,Codigo_Material!$A$2:$C$6426,3,0),1,25))</f>
        <v/>
      </c>
      <c r="L467" s="19"/>
      <c r="M467" s="20"/>
      <c r="N467" s="1"/>
      <c r="O467" s="2"/>
      <c r="P467" s="58"/>
      <c r="Q467" s="58"/>
      <c r="R467" s="58"/>
      <c r="S467" s="55"/>
      <c r="T467" s="36"/>
    </row>
    <row r="468" spans="1:20" s="37" customFormat="1" x14ac:dyDescent="0.25">
      <c r="A468" s="33"/>
      <c r="B468" s="54" t="str">
        <f t="shared" si="35"/>
        <v>K4B6</v>
      </c>
      <c r="C468" s="56" t="str">
        <f t="shared" si="36"/>
        <v>OBRA</v>
      </c>
      <c r="D468" s="56"/>
      <c r="E468" s="54" t="str">
        <f t="shared" si="37"/>
        <v/>
      </c>
      <c r="F468" s="22" t="str">
        <f t="shared" si="38"/>
        <v/>
      </c>
      <c r="G468" s="22" t="str">
        <f t="shared" si="39"/>
        <v/>
      </c>
      <c r="H468" s="49"/>
      <c r="I468" s="57" t="str">
        <f>IF(H468="","",MID(VLOOKUP(H468,Codigo_Material!$A$2:$C$9999,2,0),1,30))</f>
        <v/>
      </c>
      <c r="J468" s="57"/>
      <c r="K468" s="54" t="str">
        <f>IF(H468="","",MID(VLOOKUP(H468,Codigo_Material!$A$2:$C$6426,3,0),1,25))</f>
        <v/>
      </c>
      <c r="L468" s="19"/>
      <c r="M468" s="20"/>
      <c r="N468" s="1"/>
      <c r="O468" s="2"/>
      <c r="P468" s="58"/>
      <c r="Q468" s="58"/>
      <c r="R468" s="58"/>
      <c r="S468" s="55"/>
      <c r="T468" s="36"/>
    </row>
    <row r="469" spans="1:20" s="37" customFormat="1" x14ac:dyDescent="0.25">
      <c r="A469" s="33"/>
      <c r="B469" s="54" t="str">
        <f t="shared" si="35"/>
        <v>K4B6</v>
      </c>
      <c r="C469" s="56" t="str">
        <f t="shared" si="36"/>
        <v>OBRA</v>
      </c>
      <c r="D469" s="56"/>
      <c r="E469" s="54" t="str">
        <f t="shared" si="37"/>
        <v/>
      </c>
      <c r="F469" s="22" t="str">
        <f t="shared" si="38"/>
        <v/>
      </c>
      <c r="G469" s="22" t="str">
        <f t="shared" si="39"/>
        <v/>
      </c>
      <c r="H469" s="49"/>
      <c r="I469" s="57" t="str">
        <f>IF(H469="","",MID(VLOOKUP(H469,Codigo_Material!$A$2:$C$9999,2,0),1,30))</f>
        <v/>
      </c>
      <c r="J469" s="57"/>
      <c r="K469" s="54" t="str">
        <f>IF(H469="","",MID(VLOOKUP(H469,Codigo_Material!$A$2:$C$6426,3,0),1,25))</f>
        <v/>
      </c>
      <c r="L469" s="19"/>
      <c r="M469" s="20"/>
      <c r="N469" s="1"/>
      <c r="O469" s="2"/>
      <c r="P469" s="58"/>
      <c r="Q469" s="58"/>
      <c r="R469" s="58"/>
      <c r="S469" s="55"/>
      <c r="T469" s="36"/>
    </row>
    <row r="470" spans="1:20" s="37" customFormat="1" x14ac:dyDescent="0.25">
      <c r="A470" s="33"/>
      <c r="B470" s="54" t="str">
        <f t="shared" si="35"/>
        <v>K4B6</v>
      </c>
      <c r="C470" s="56" t="str">
        <f t="shared" si="36"/>
        <v>OBRA</v>
      </c>
      <c r="D470" s="56"/>
      <c r="E470" s="54" t="str">
        <f t="shared" si="37"/>
        <v/>
      </c>
      <c r="F470" s="22" t="str">
        <f t="shared" si="38"/>
        <v/>
      </c>
      <c r="G470" s="22" t="str">
        <f t="shared" si="39"/>
        <v/>
      </c>
      <c r="H470" s="49"/>
      <c r="I470" s="57" t="str">
        <f>IF(H470="","",MID(VLOOKUP(H470,Codigo_Material!$A$2:$C$9999,2,0),1,30))</f>
        <v/>
      </c>
      <c r="J470" s="57"/>
      <c r="K470" s="54" t="str">
        <f>IF(H470="","",MID(VLOOKUP(H470,Codigo_Material!$A$2:$C$6426,3,0),1,25))</f>
        <v/>
      </c>
      <c r="L470" s="19"/>
      <c r="M470" s="20"/>
      <c r="N470" s="1"/>
      <c r="O470" s="2"/>
      <c r="P470" s="58"/>
      <c r="Q470" s="58"/>
      <c r="R470" s="58"/>
      <c r="S470" s="55"/>
      <c r="T470" s="36"/>
    </row>
    <row r="471" spans="1:20" s="37" customFormat="1" x14ac:dyDescent="0.25">
      <c r="A471" s="33"/>
      <c r="B471" s="54" t="str">
        <f t="shared" si="35"/>
        <v>K4B6</v>
      </c>
      <c r="C471" s="56" t="str">
        <f t="shared" si="36"/>
        <v>OBRA</v>
      </c>
      <c r="D471" s="56"/>
      <c r="E471" s="54" t="str">
        <f t="shared" si="37"/>
        <v/>
      </c>
      <c r="F471" s="22" t="str">
        <f t="shared" si="38"/>
        <v/>
      </c>
      <c r="G471" s="22" t="str">
        <f t="shared" si="39"/>
        <v/>
      </c>
      <c r="H471" s="49"/>
      <c r="I471" s="57" t="str">
        <f>IF(H471="","",MID(VLOOKUP(H471,Codigo_Material!$A$2:$C$9999,2,0),1,30))</f>
        <v/>
      </c>
      <c r="J471" s="57"/>
      <c r="K471" s="54" t="str">
        <f>IF(H471="","",MID(VLOOKUP(H471,Codigo_Material!$A$2:$C$6426,3,0),1,25))</f>
        <v/>
      </c>
      <c r="L471" s="19"/>
      <c r="M471" s="20"/>
      <c r="N471" s="1"/>
      <c r="O471" s="2"/>
      <c r="P471" s="58"/>
      <c r="Q471" s="58"/>
      <c r="R471" s="58"/>
      <c r="S471" s="55"/>
      <c r="T471" s="36"/>
    </row>
    <row r="472" spans="1:20" s="37" customFormat="1" x14ac:dyDescent="0.25">
      <c r="A472" s="33"/>
      <c r="B472" s="54" t="str">
        <f t="shared" si="35"/>
        <v>K4B6</v>
      </c>
      <c r="C472" s="56" t="str">
        <f t="shared" si="36"/>
        <v>OBRA</v>
      </c>
      <c r="D472" s="56"/>
      <c r="E472" s="54" t="str">
        <f t="shared" si="37"/>
        <v/>
      </c>
      <c r="F472" s="22" t="str">
        <f t="shared" si="38"/>
        <v/>
      </c>
      <c r="G472" s="22" t="str">
        <f t="shared" si="39"/>
        <v/>
      </c>
      <c r="H472" s="49"/>
      <c r="I472" s="57" t="str">
        <f>IF(H472="","",MID(VLOOKUP(H472,Codigo_Material!$A$2:$C$9999,2,0),1,30))</f>
        <v/>
      </c>
      <c r="J472" s="57"/>
      <c r="K472" s="54" t="str">
        <f>IF(H472="","",MID(VLOOKUP(H472,Codigo_Material!$A$2:$C$6426,3,0),1,25))</f>
        <v/>
      </c>
      <c r="L472" s="19"/>
      <c r="M472" s="20"/>
      <c r="N472" s="1"/>
      <c r="O472" s="2"/>
      <c r="P472" s="58"/>
      <c r="Q472" s="58"/>
      <c r="R472" s="58"/>
      <c r="S472" s="55"/>
      <c r="T472" s="36"/>
    </row>
    <row r="473" spans="1:20" s="37" customFormat="1" x14ac:dyDescent="0.25">
      <c r="A473" s="33"/>
      <c r="B473" s="54" t="str">
        <f t="shared" si="35"/>
        <v>K4B6</v>
      </c>
      <c r="C473" s="56" t="str">
        <f t="shared" si="36"/>
        <v>OBRA</v>
      </c>
      <c r="D473" s="56"/>
      <c r="E473" s="54" t="str">
        <f t="shared" si="37"/>
        <v/>
      </c>
      <c r="F473" s="22" t="str">
        <f t="shared" si="38"/>
        <v/>
      </c>
      <c r="G473" s="22" t="str">
        <f t="shared" si="39"/>
        <v/>
      </c>
      <c r="H473" s="49"/>
      <c r="I473" s="57" t="str">
        <f>IF(H473="","",MID(VLOOKUP(H473,Codigo_Material!$A$2:$C$9999,2,0),1,30))</f>
        <v/>
      </c>
      <c r="J473" s="57"/>
      <c r="K473" s="54" t="str">
        <f>IF(H473="","",MID(VLOOKUP(H473,Codigo_Material!$A$2:$C$6426,3,0),1,25))</f>
        <v/>
      </c>
      <c r="L473" s="19"/>
      <c r="M473" s="20"/>
      <c r="N473" s="1"/>
      <c r="O473" s="2"/>
      <c r="P473" s="58"/>
      <c r="Q473" s="58"/>
      <c r="R473" s="58"/>
      <c r="S473" s="55"/>
      <c r="T473" s="36"/>
    </row>
    <row r="474" spans="1:20" s="37" customFormat="1" x14ac:dyDescent="0.25">
      <c r="A474" s="33"/>
      <c r="B474" s="54" t="str">
        <f t="shared" si="35"/>
        <v>K4B6</v>
      </c>
      <c r="C474" s="56" t="str">
        <f t="shared" si="36"/>
        <v>OBRA</v>
      </c>
      <c r="D474" s="56"/>
      <c r="E474" s="54" t="str">
        <f t="shared" si="37"/>
        <v/>
      </c>
      <c r="F474" s="22" t="str">
        <f t="shared" si="38"/>
        <v/>
      </c>
      <c r="G474" s="22" t="str">
        <f t="shared" si="39"/>
        <v/>
      </c>
      <c r="H474" s="49"/>
      <c r="I474" s="57" t="str">
        <f>IF(H474="","",MID(VLOOKUP(H474,Codigo_Material!$A$2:$C$9999,2,0),1,30))</f>
        <v/>
      </c>
      <c r="J474" s="57"/>
      <c r="K474" s="54" t="str">
        <f>IF(H474="","",MID(VLOOKUP(H474,Codigo_Material!$A$2:$C$6426,3,0),1,25))</f>
        <v/>
      </c>
      <c r="L474" s="19"/>
      <c r="M474" s="20"/>
      <c r="N474" s="1"/>
      <c r="O474" s="2"/>
      <c r="P474" s="58"/>
      <c r="Q474" s="58"/>
      <c r="R474" s="58"/>
      <c r="S474" s="55"/>
      <c r="T474" s="36"/>
    </row>
    <row r="475" spans="1:20" s="37" customFormat="1" x14ac:dyDescent="0.25">
      <c r="A475" s="33"/>
      <c r="B475" s="54" t="str">
        <f t="shared" si="35"/>
        <v>K4B6</v>
      </c>
      <c r="C475" s="56" t="str">
        <f t="shared" si="36"/>
        <v>OBRA</v>
      </c>
      <c r="D475" s="56"/>
      <c r="E475" s="54" t="str">
        <f t="shared" si="37"/>
        <v/>
      </c>
      <c r="F475" s="22" t="str">
        <f t="shared" si="38"/>
        <v/>
      </c>
      <c r="G475" s="22" t="str">
        <f t="shared" si="39"/>
        <v/>
      </c>
      <c r="H475" s="49"/>
      <c r="I475" s="57" t="str">
        <f>IF(H475="","",MID(VLOOKUP(H475,Codigo_Material!$A$2:$C$9999,2,0),1,30))</f>
        <v/>
      </c>
      <c r="J475" s="57"/>
      <c r="K475" s="54" t="str">
        <f>IF(H475="","",MID(VLOOKUP(H475,Codigo_Material!$A$2:$C$6426,3,0),1,25))</f>
        <v/>
      </c>
      <c r="L475" s="19"/>
      <c r="M475" s="20"/>
      <c r="N475" s="1"/>
      <c r="O475" s="2"/>
      <c r="P475" s="58"/>
      <c r="Q475" s="58"/>
      <c r="R475" s="58"/>
      <c r="S475" s="55"/>
      <c r="T475" s="36"/>
    </row>
    <row r="476" spans="1:20" s="37" customFormat="1" x14ac:dyDescent="0.25">
      <c r="A476" s="33"/>
      <c r="B476" s="54" t="str">
        <f t="shared" si="35"/>
        <v>K4B6</v>
      </c>
      <c r="C476" s="56" t="str">
        <f t="shared" si="36"/>
        <v>OBRA</v>
      </c>
      <c r="D476" s="56"/>
      <c r="E476" s="54" t="str">
        <f t="shared" si="37"/>
        <v/>
      </c>
      <c r="F476" s="22" t="str">
        <f t="shared" si="38"/>
        <v/>
      </c>
      <c r="G476" s="22" t="str">
        <f t="shared" si="39"/>
        <v/>
      </c>
      <c r="H476" s="49"/>
      <c r="I476" s="57" t="str">
        <f>IF(H476="","",MID(VLOOKUP(H476,Codigo_Material!$A$2:$C$9999,2,0),1,30))</f>
        <v/>
      </c>
      <c r="J476" s="57"/>
      <c r="K476" s="54" t="str">
        <f>IF(H476="","",MID(VLOOKUP(H476,Codigo_Material!$A$2:$C$6426,3,0),1,25))</f>
        <v/>
      </c>
      <c r="L476" s="19"/>
      <c r="M476" s="20"/>
      <c r="N476" s="1"/>
      <c r="O476" s="2"/>
      <c r="P476" s="58"/>
      <c r="Q476" s="58"/>
      <c r="R476" s="58"/>
      <c r="S476" s="55"/>
      <c r="T476" s="36"/>
    </row>
    <row r="477" spans="1:20" s="37" customFormat="1" x14ac:dyDescent="0.25">
      <c r="A477" s="33"/>
      <c r="B477" s="54" t="str">
        <f t="shared" si="35"/>
        <v>K4B6</v>
      </c>
      <c r="C477" s="56" t="str">
        <f t="shared" si="36"/>
        <v>OBRA</v>
      </c>
      <c r="D477" s="56"/>
      <c r="E477" s="54" t="str">
        <f t="shared" si="37"/>
        <v/>
      </c>
      <c r="F477" s="22" t="str">
        <f t="shared" si="38"/>
        <v/>
      </c>
      <c r="G477" s="22" t="str">
        <f t="shared" si="39"/>
        <v/>
      </c>
      <c r="H477" s="49"/>
      <c r="I477" s="57" t="str">
        <f>IF(H477="","",MID(VLOOKUP(H477,Codigo_Material!$A$2:$C$9999,2,0),1,30))</f>
        <v/>
      </c>
      <c r="J477" s="57"/>
      <c r="K477" s="54" t="str">
        <f>IF(H477="","",MID(VLOOKUP(H477,Codigo_Material!$A$2:$C$6426,3,0),1,25))</f>
        <v/>
      </c>
      <c r="L477" s="19"/>
      <c r="M477" s="20"/>
      <c r="N477" s="1"/>
      <c r="O477" s="2"/>
      <c r="P477" s="58"/>
      <c r="Q477" s="58"/>
      <c r="R477" s="58"/>
      <c r="S477" s="55"/>
      <c r="T477" s="36"/>
    </row>
    <row r="478" spans="1:20" s="37" customFormat="1" x14ac:dyDescent="0.25">
      <c r="A478" s="33"/>
      <c r="B478" s="54" t="str">
        <f t="shared" si="35"/>
        <v>K4B6</v>
      </c>
      <c r="C478" s="56" t="str">
        <f t="shared" si="36"/>
        <v>OBRA</v>
      </c>
      <c r="D478" s="56"/>
      <c r="E478" s="54" t="str">
        <f t="shared" si="37"/>
        <v/>
      </c>
      <c r="F478" s="22" t="str">
        <f t="shared" si="38"/>
        <v/>
      </c>
      <c r="G478" s="22" t="str">
        <f t="shared" si="39"/>
        <v/>
      </c>
      <c r="H478" s="49"/>
      <c r="I478" s="57" t="str">
        <f>IF(H478="","",MID(VLOOKUP(H478,Codigo_Material!$A$2:$C$9999,2,0),1,30))</f>
        <v/>
      </c>
      <c r="J478" s="57"/>
      <c r="K478" s="54" t="str">
        <f>IF(H478="","",MID(VLOOKUP(H478,Codigo_Material!$A$2:$C$6426,3,0),1,25))</f>
        <v/>
      </c>
      <c r="L478" s="19"/>
      <c r="M478" s="20"/>
      <c r="N478" s="1"/>
      <c r="O478" s="2"/>
      <c r="P478" s="58"/>
      <c r="Q478" s="58"/>
      <c r="R478" s="58"/>
      <c r="S478" s="55"/>
      <c r="T478" s="36"/>
    </row>
    <row r="479" spans="1:20" s="37" customFormat="1" x14ac:dyDescent="0.25">
      <c r="A479" s="33"/>
      <c r="B479" s="54" t="str">
        <f t="shared" si="35"/>
        <v>K4B6</v>
      </c>
      <c r="C479" s="56" t="str">
        <f t="shared" si="36"/>
        <v>OBRA</v>
      </c>
      <c r="D479" s="56"/>
      <c r="E479" s="54" t="str">
        <f t="shared" si="37"/>
        <v/>
      </c>
      <c r="F479" s="22" t="str">
        <f t="shared" si="38"/>
        <v/>
      </c>
      <c r="G479" s="22" t="str">
        <f t="shared" si="39"/>
        <v/>
      </c>
      <c r="H479" s="49"/>
      <c r="I479" s="57" t="str">
        <f>IF(H479="","",MID(VLOOKUP(H479,Codigo_Material!$A$2:$C$9999,2,0),1,30))</f>
        <v/>
      </c>
      <c r="J479" s="57"/>
      <c r="K479" s="54" t="str">
        <f>IF(H479="","",MID(VLOOKUP(H479,Codigo_Material!$A$2:$C$6426,3,0),1,25))</f>
        <v/>
      </c>
      <c r="L479" s="19"/>
      <c r="M479" s="20"/>
      <c r="N479" s="1"/>
      <c r="O479" s="2"/>
      <c r="P479" s="58"/>
      <c r="Q479" s="58"/>
      <c r="R479" s="58"/>
      <c r="S479" s="55"/>
      <c r="T479" s="36"/>
    </row>
    <row r="480" spans="1:20" s="37" customFormat="1" x14ac:dyDescent="0.25">
      <c r="A480" s="33"/>
      <c r="B480" s="54" t="str">
        <f t="shared" si="35"/>
        <v>K4B6</v>
      </c>
      <c r="C480" s="56" t="str">
        <f t="shared" si="36"/>
        <v>OBRA</v>
      </c>
      <c r="D480" s="56"/>
      <c r="E480" s="54" t="str">
        <f t="shared" si="37"/>
        <v/>
      </c>
      <c r="F480" s="22" t="str">
        <f t="shared" si="38"/>
        <v/>
      </c>
      <c r="G480" s="22" t="str">
        <f t="shared" si="39"/>
        <v/>
      </c>
      <c r="H480" s="49"/>
      <c r="I480" s="57" t="str">
        <f>IF(H480="","",MID(VLOOKUP(H480,Codigo_Material!$A$2:$C$9999,2,0),1,30))</f>
        <v/>
      </c>
      <c r="J480" s="57"/>
      <c r="K480" s="54" t="str">
        <f>IF(H480="","",MID(VLOOKUP(H480,Codigo_Material!$A$2:$C$6426,3,0),1,25))</f>
        <v/>
      </c>
      <c r="L480" s="19"/>
      <c r="M480" s="20"/>
      <c r="N480" s="1"/>
      <c r="O480" s="2"/>
      <c r="P480" s="58"/>
      <c r="Q480" s="58"/>
      <c r="R480" s="58"/>
      <c r="S480" s="55"/>
      <c r="T480" s="36"/>
    </row>
    <row r="481" spans="1:20" s="37" customFormat="1" x14ac:dyDescent="0.25">
      <c r="A481" s="33"/>
      <c r="B481" s="54" t="str">
        <f t="shared" si="35"/>
        <v>K4B6</v>
      </c>
      <c r="C481" s="56" t="str">
        <f t="shared" si="36"/>
        <v>OBRA</v>
      </c>
      <c r="D481" s="56"/>
      <c r="E481" s="54" t="str">
        <f t="shared" si="37"/>
        <v/>
      </c>
      <c r="F481" s="22" t="str">
        <f t="shared" si="38"/>
        <v/>
      </c>
      <c r="G481" s="22" t="str">
        <f t="shared" si="39"/>
        <v/>
      </c>
      <c r="H481" s="49"/>
      <c r="I481" s="57" t="str">
        <f>IF(H481="","",MID(VLOOKUP(H481,Codigo_Material!$A$2:$C$9999,2,0),1,30))</f>
        <v/>
      </c>
      <c r="J481" s="57"/>
      <c r="K481" s="54" t="str">
        <f>IF(H481="","",MID(VLOOKUP(H481,Codigo_Material!$A$2:$C$6426,3,0),1,25))</f>
        <v/>
      </c>
      <c r="L481" s="19"/>
      <c r="M481" s="20"/>
      <c r="N481" s="1"/>
      <c r="O481" s="2"/>
      <c r="P481" s="58"/>
      <c r="Q481" s="58"/>
      <c r="R481" s="58"/>
      <c r="S481" s="55"/>
      <c r="T481" s="36"/>
    </row>
    <row r="482" spans="1:20" s="37" customFormat="1" x14ac:dyDescent="0.25">
      <c r="A482" s="33"/>
      <c r="B482" s="54" t="str">
        <f t="shared" si="35"/>
        <v>K4B6</v>
      </c>
      <c r="C482" s="56" t="str">
        <f t="shared" si="36"/>
        <v>OBRA</v>
      </c>
      <c r="D482" s="56"/>
      <c r="E482" s="54" t="str">
        <f t="shared" si="37"/>
        <v/>
      </c>
      <c r="F482" s="22" t="str">
        <f t="shared" si="38"/>
        <v/>
      </c>
      <c r="G482" s="22" t="str">
        <f t="shared" si="39"/>
        <v/>
      </c>
      <c r="H482" s="49"/>
      <c r="I482" s="57" t="str">
        <f>IF(H482="","",MID(VLOOKUP(H482,Codigo_Material!$A$2:$C$9999,2,0),1,30))</f>
        <v/>
      </c>
      <c r="J482" s="57"/>
      <c r="K482" s="54" t="str">
        <f>IF(H482="","",MID(VLOOKUP(H482,Codigo_Material!$A$2:$C$6426,3,0),1,25))</f>
        <v/>
      </c>
      <c r="L482" s="19"/>
      <c r="M482" s="20"/>
      <c r="N482" s="1"/>
      <c r="O482" s="2"/>
      <c r="P482" s="58"/>
      <c r="Q482" s="58"/>
      <c r="R482" s="58"/>
      <c r="S482" s="55"/>
      <c r="T482" s="36"/>
    </row>
    <row r="483" spans="1:20" s="37" customFormat="1" x14ac:dyDescent="0.25">
      <c r="A483" s="33"/>
      <c r="B483" s="54" t="str">
        <f t="shared" si="35"/>
        <v>K4B6</v>
      </c>
      <c r="C483" s="56" t="str">
        <f t="shared" si="36"/>
        <v>OBRA</v>
      </c>
      <c r="D483" s="56"/>
      <c r="E483" s="54" t="str">
        <f t="shared" si="37"/>
        <v/>
      </c>
      <c r="F483" s="22" t="str">
        <f t="shared" si="38"/>
        <v/>
      </c>
      <c r="G483" s="22" t="str">
        <f t="shared" si="39"/>
        <v/>
      </c>
      <c r="H483" s="49"/>
      <c r="I483" s="57" t="str">
        <f>IF(H483="","",MID(VLOOKUP(H483,Codigo_Material!$A$2:$C$9999,2,0),1,30))</f>
        <v/>
      </c>
      <c r="J483" s="57"/>
      <c r="K483" s="54" t="str">
        <f>IF(H483="","",MID(VLOOKUP(H483,Codigo_Material!$A$2:$C$6426,3,0),1,25))</f>
        <v/>
      </c>
      <c r="L483" s="19"/>
      <c r="M483" s="20"/>
      <c r="N483" s="1"/>
      <c r="O483" s="2"/>
      <c r="P483" s="58"/>
      <c r="Q483" s="58"/>
      <c r="R483" s="58"/>
      <c r="S483" s="55"/>
      <c r="T483" s="36"/>
    </row>
    <row r="484" spans="1:20" s="37" customFormat="1" x14ac:dyDescent="0.25">
      <c r="A484" s="33"/>
      <c r="B484" s="54" t="str">
        <f t="shared" si="35"/>
        <v>K4B6</v>
      </c>
      <c r="C484" s="56" t="str">
        <f t="shared" si="36"/>
        <v>OBRA</v>
      </c>
      <c r="D484" s="56"/>
      <c r="E484" s="54" t="str">
        <f t="shared" si="37"/>
        <v/>
      </c>
      <c r="F484" s="22" t="str">
        <f t="shared" si="38"/>
        <v/>
      </c>
      <c r="G484" s="22" t="str">
        <f t="shared" si="39"/>
        <v/>
      </c>
      <c r="H484" s="49"/>
      <c r="I484" s="57" t="str">
        <f>IF(H484="","",MID(VLOOKUP(H484,Codigo_Material!$A$2:$C$9999,2,0),1,30))</f>
        <v/>
      </c>
      <c r="J484" s="57"/>
      <c r="K484" s="54" t="str">
        <f>IF(H484="","",MID(VLOOKUP(H484,Codigo_Material!$A$2:$C$6426,3,0),1,25))</f>
        <v/>
      </c>
      <c r="L484" s="19"/>
      <c r="M484" s="20"/>
      <c r="N484" s="1"/>
      <c r="O484" s="2"/>
      <c r="P484" s="58"/>
      <c r="Q484" s="58"/>
      <c r="R484" s="58"/>
      <c r="S484" s="55"/>
      <c r="T484" s="36"/>
    </row>
    <row r="485" spans="1:20" s="37" customFormat="1" x14ac:dyDescent="0.25">
      <c r="A485" s="33"/>
      <c r="B485" s="54" t="str">
        <f t="shared" si="35"/>
        <v>K4B6</v>
      </c>
      <c r="C485" s="56" t="str">
        <f t="shared" si="36"/>
        <v>OBRA</v>
      </c>
      <c r="D485" s="56"/>
      <c r="E485" s="54" t="str">
        <f t="shared" si="37"/>
        <v/>
      </c>
      <c r="F485" s="22" t="str">
        <f t="shared" si="38"/>
        <v/>
      </c>
      <c r="G485" s="22" t="str">
        <f t="shared" si="39"/>
        <v/>
      </c>
      <c r="H485" s="49"/>
      <c r="I485" s="57" t="str">
        <f>IF(H485="","",MID(VLOOKUP(H485,Codigo_Material!$A$2:$C$9999,2,0),1,30))</f>
        <v/>
      </c>
      <c r="J485" s="57"/>
      <c r="K485" s="54" t="str">
        <f>IF(H485="","",MID(VLOOKUP(H485,Codigo_Material!$A$2:$C$6426,3,0),1,25))</f>
        <v/>
      </c>
      <c r="L485" s="19"/>
      <c r="M485" s="20"/>
      <c r="N485" s="1"/>
      <c r="O485" s="2"/>
      <c r="P485" s="58"/>
      <c r="Q485" s="58"/>
      <c r="R485" s="58"/>
      <c r="S485" s="55"/>
      <c r="T485" s="36"/>
    </row>
    <row r="486" spans="1:20" s="37" customFormat="1" x14ac:dyDescent="0.25">
      <c r="A486" s="33"/>
      <c r="B486" s="54" t="str">
        <f t="shared" si="35"/>
        <v>K4B6</v>
      </c>
      <c r="C486" s="56" t="str">
        <f t="shared" si="36"/>
        <v>OBRA</v>
      </c>
      <c r="D486" s="56"/>
      <c r="E486" s="54" t="str">
        <f t="shared" si="37"/>
        <v/>
      </c>
      <c r="F486" s="22" t="str">
        <f t="shared" si="38"/>
        <v/>
      </c>
      <c r="G486" s="22" t="str">
        <f t="shared" si="39"/>
        <v/>
      </c>
      <c r="H486" s="49"/>
      <c r="I486" s="57" t="str">
        <f>IF(H486="","",MID(VLOOKUP(H486,Codigo_Material!$A$2:$C$9999,2,0),1,30))</f>
        <v/>
      </c>
      <c r="J486" s="57"/>
      <c r="K486" s="54" t="str">
        <f>IF(H486="","",MID(VLOOKUP(H486,Codigo_Material!$A$2:$C$6426,3,0),1,25))</f>
        <v/>
      </c>
      <c r="L486" s="19"/>
      <c r="M486" s="20"/>
      <c r="N486" s="1"/>
      <c r="O486" s="2"/>
      <c r="P486" s="58"/>
      <c r="Q486" s="58"/>
      <c r="R486" s="58"/>
      <c r="S486" s="55"/>
      <c r="T486" s="36"/>
    </row>
    <row r="487" spans="1:20" s="37" customFormat="1" x14ac:dyDescent="0.25">
      <c r="A487" s="33"/>
      <c r="B487" s="54" t="str">
        <f t="shared" si="35"/>
        <v>K4B6</v>
      </c>
      <c r="C487" s="56" t="str">
        <f t="shared" si="36"/>
        <v>OBRA</v>
      </c>
      <c r="D487" s="56"/>
      <c r="E487" s="54" t="str">
        <f t="shared" si="37"/>
        <v/>
      </c>
      <c r="F487" s="22" t="str">
        <f t="shared" si="38"/>
        <v/>
      </c>
      <c r="G487" s="22" t="str">
        <f t="shared" si="39"/>
        <v/>
      </c>
      <c r="H487" s="49"/>
      <c r="I487" s="57" t="str">
        <f>IF(H487="","",MID(VLOOKUP(H487,Codigo_Material!$A$2:$C$9999,2,0),1,30))</f>
        <v/>
      </c>
      <c r="J487" s="57"/>
      <c r="K487" s="54" t="str">
        <f>IF(H487="","",MID(VLOOKUP(H487,Codigo_Material!$A$2:$C$6426,3,0),1,25))</f>
        <v/>
      </c>
      <c r="L487" s="19"/>
      <c r="M487" s="20"/>
      <c r="N487" s="1"/>
      <c r="O487" s="2"/>
      <c r="P487" s="58"/>
      <c r="Q487" s="58"/>
      <c r="R487" s="58"/>
      <c r="S487" s="55"/>
      <c r="T487" s="36"/>
    </row>
    <row r="488" spans="1:20" s="37" customFormat="1" x14ac:dyDescent="0.25">
      <c r="A488" s="33"/>
      <c r="B488" s="54" t="str">
        <f t="shared" si="35"/>
        <v>K4B6</v>
      </c>
      <c r="C488" s="56" t="str">
        <f t="shared" si="36"/>
        <v>OBRA</v>
      </c>
      <c r="D488" s="56"/>
      <c r="E488" s="54" t="str">
        <f t="shared" si="37"/>
        <v/>
      </c>
      <c r="F488" s="22" t="str">
        <f t="shared" si="38"/>
        <v/>
      </c>
      <c r="G488" s="22" t="str">
        <f t="shared" si="39"/>
        <v/>
      </c>
      <c r="H488" s="49"/>
      <c r="I488" s="57" t="str">
        <f>IF(H488="","",MID(VLOOKUP(H488,Codigo_Material!$A$2:$C$9999,2,0),1,30))</f>
        <v/>
      </c>
      <c r="J488" s="57"/>
      <c r="K488" s="54" t="str">
        <f>IF(H488="","",MID(VLOOKUP(H488,Codigo_Material!$A$2:$C$6426,3,0),1,25))</f>
        <v/>
      </c>
      <c r="L488" s="19"/>
      <c r="M488" s="20"/>
      <c r="N488" s="1"/>
      <c r="O488" s="2"/>
      <c r="P488" s="58"/>
      <c r="Q488" s="58"/>
      <c r="R488" s="58"/>
      <c r="S488" s="55"/>
      <c r="T488" s="36"/>
    </row>
    <row r="489" spans="1:20" s="37" customFormat="1" x14ac:dyDescent="0.25">
      <c r="A489" s="33"/>
      <c r="B489" s="54" t="str">
        <f t="shared" si="35"/>
        <v>K4B6</v>
      </c>
      <c r="C489" s="56" t="str">
        <f t="shared" si="36"/>
        <v>OBRA</v>
      </c>
      <c r="D489" s="56"/>
      <c r="E489" s="54" t="str">
        <f t="shared" si="37"/>
        <v/>
      </c>
      <c r="F489" s="22" t="str">
        <f t="shared" si="38"/>
        <v/>
      </c>
      <c r="G489" s="22" t="str">
        <f t="shared" si="39"/>
        <v/>
      </c>
      <c r="H489" s="49"/>
      <c r="I489" s="57" t="str">
        <f>IF(H489="","",MID(VLOOKUP(H489,Codigo_Material!$A$2:$C$9999,2,0),1,30))</f>
        <v/>
      </c>
      <c r="J489" s="57"/>
      <c r="K489" s="54" t="str">
        <f>IF(H489="","",MID(VLOOKUP(H489,Codigo_Material!$A$2:$C$6426,3,0),1,25))</f>
        <v/>
      </c>
      <c r="L489" s="19"/>
      <c r="M489" s="20"/>
      <c r="N489" s="1"/>
      <c r="O489" s="2"/>
      <c r="P489" s="58"/>
      <c r="Q489" s="58"/>
      <c r="R489" s="58"/>
      <c r="S489" s="55"/>
      <c r="T489" s="36"/>
    </row>
    <row r="490" spans="1:20" s="37" customFormat="1" x14ac:dyDescent="0.25">
      <c r="A490" s="33"/>
      <c r="B490" s="54" t="str">
        <f t="shared" si="35"/>
        <v>K4B6</v>
      </c>
      <c r="C490" s="56" t="str">
        <f t="shared" si="36"/>
        <v>OBRA</v>
      </c>
      <c r="D490" s="56"/>
      <c r="E490" s="54" t="str">
        <f t="shared" si="37"/>
        <v/>
      </c>
      <c r="F490" s="22" t="str">
        <f t="shared" si="38"/>
        <v/>
      </c>
      <c r="G490" s="22" t="str">
        <f t="shared" si="39"/>
        <v/>
      </c>
      <c r="H490" s="49"/>
      <c r="I490" s="57" t="str">
        <f>IF(H490="","",MID(VLOOKUP(H490,Codigo_Material!$A$2:$C$9999,2,0),1,30))</f>
        <v/>
      </c>
      <c r="J490" s="57"/>
      <c r="K490" s="54" t="str">
        <f>IF(H490="","",MID(VLOOKUP(H490,Codigo_Material!$A$2:$C$6426,3,0),1,25))</f>
        <v/>
      </c>
      <c r="L490" s="19"/>
      <c r="M490" s="20"/>
      <c r="N490" s="1"/>
      <c r="O490" s="2"/>
      <c r="P490" s="58"/>
      <c r="Q490" s="58"/>
      <c r="R490" s="58"/>
      <c r="S490" s="55"/>
      <c r="T490" s="36"/>
    </row>
    <row r="491" spans="1:20" s="37" customFormat="1" x14ac:dyDescent="0.25">
      <c r="A491" s="33"/>
      <c r="B491" s="54" t="str">
        <f t="shared" si="35"/>
        <v>K4B6</v>
      </c>
      <c r="C491" s="56" t="str">
        <f t="shared" si="36"/>
        <v>OBRA</v>
      </c>
      <c r="D491" s="56"/>
      <c r="E491" s="54" t="str">
        <f t="shared" si="37"/>
        <v/>
      </c>
      <c r="F491" s="22" t="str">
        <f t="shared" si="38"/>
        <v/>
      </c>
      <c r="G491" s="22" t="str">
        <f t="shared" si="39"/>
        <v/>
      </c>
      <c r="H491" s="49"/>
      <c r="I491" s="57" t="str">
        <f>IF(H491="","",MID(VLOOKUP(H491,Codigo_Material!$A$2:$C$9999,2,0),1,30))</f>
        <v/>
      </c>
      <c r="J491" s="57"/>
      <c r="K491" s="54" t="str">
        <f>IF(H491="","",MID(VLOOKUP(H491,Codigo_Material!$A$2:$C$6426,3,0),1,25))</f>
        <v/>
      </c>
      <c r="L491" s="19"/>
      <c r="M491" s="20"/>
      <c r="N491" s="1"/>
      <c r="O491" s="2"/>
      <c r="P491" s="58"/>
      <c r="Q491" s="58"/>
      <c r="R491" s="58"/>
      <c r="S491" s="55"/>
      <c r="T491" s="36"/>
    </row>
    <row r="492" spans="1:20" s="37" customFormat="1" x14ac:dyDescent="0.25">
      <c r="A492" s="33"/>
      <c r="B492" s="54" t="str">
        <f t="shared" si="35"/>
        <v>K4B6</v>
      </c>
      <c r="C492" s="56" t="str">
        <f t="shared" si="36"/>
        <v>OBRA</v>
      </c>
      <c r="D492" s="56"/>
      <c r="E492" s="54" t="str">
        <f t="shared" si="37"/>
        <v/>
      </c>
      <c r="F492" s="22" t="str">
        <f t="shared" si="38"/>
        <v/>
      </c>
      <c r="G492" s="22" t="str">
        <f t="shared" si="39"/>
        <v/>
      </c>
      <c r="H492" s="49"/>
      <c r="I492" s="57" t="str">
        <f>IF(H492="","",MID(VLOOKUP(H492,Codigo_Material!$A$2:$C$9999,2,0),1,30))</f>
        <v/>
      </c>
      <c r="J492" s="57"/>
      <c r="K492" s="54" t="str">
        <f>IF(H492="","",MID(VLOOKUP(H492,Codigo_Material!$A$2:$C$6426,3,0),1,25))</f>
        <v/>
      </c>
      <c r="L492" s="19"/>
      <c r="M492" s="20"/>
      <c r="N492" s="1"/>
      <c r="O492" s="2"/>
      <c r="P492" s="58"/>
      <c r="Q492" s="58"/>
      <c r="R492" s="58"/>
      <c r="S492" s="55"/>
      <c r="T492" s="36"/>
    </row>
    <row r="493" spans="1:20" s="37" customFormat="1" x14ac:dyDescent="0.25">
      <c r="A493" s="33"/>
      <c r="B493" s="54" t="str">
        <f t="shared" si="35"/>
        <v>K4B6</v>
      </c>
      <c r="C493" s="56" t="str">
        <f t="shared" si="36"/>
        <v>OBRA</v>
      </c>
      <c r="D493" s="56"/>
      <c r="E493" s="54" t="str">
        <f t="shared" si="37"/>
        <v/>
      </c>
      <c r="F493" s="22" t="str">
        <f t="shared" si="38"/>
        <v/>
      </c>
      <c r="G493" s="22" t="str">
        <f t="shared" si="39"/>
        <v/>
      </c>
      <c r="H493" s="49"/>
      <c r="I493" s="57" t="str">
        <f>IF(H493="","",MID(VLOOKUP(H493,Codigo_Material!$A$2:$C$9999,2,0),1,30))</f>
        <v/>
      </c>
      <c r="J493" s="57"/>
      <c r="K493" s="54" t="str">
        <f>IF(H493="","",MID(VLOOKUP(H493,Codigo_Material!$A$2:$C$6426,3,0),1,25))</f>
        <v/>
      </c>
      <c r="L493" s="19"/>
      <c r="M493" s="20"/>
      <c r="N493" s="1"/>
      <c r="O493" s="2"/>
      <c r="P493" s="58"/>
      <c r="Q493" s="58"/>
      <c r="R493" s="58"/>
      <c r="S493" s="55"/>
      <c r="T493" s="36"/>
    </row>
    <row r="494" spans="1:20" s="37" customFormat="1" x14ac:dyDescent="0.25">
      <c r="A494" s="33"/>
      <c r="B494" s="54" t="str">
        <f t="shared" si="35"/>
        <v>K4B6</v>
      </c>
      <c r="C494" s="56" t="str">
        <f t="shared" si="36"/>
        <v>OBRA</v>
      </c>
      <c r="D494" s="56"/>
      <c r="E494" s="54" t="str">
        <f t="shared" si="37"/>
        <v/>
      </c>
      <c r="F494" s="22" t="str">
        <f t="shared" si="38"/>
        <v/>
      </c>
      <c r="G494" s="22" t="str">
        <f t="shared" si="39"/>
        <v/>
      </c>
      <c r="H494" s="49"/>
      <c r="I494" s="57" t="str">
        <f>IF(H494="","",MID(VLOOKUP(H494,Codigo_Material!$A$2:$C$9999,2,0),1,30))</f>
        <v/>
      </c>
      <c r="J494" s="57"/>
      <c r="K494" s="54" t="str">
        <f>IF(H494="","",MID(VLOOKUP(H494,Codigo_Material!$A$2:$C$6426,3,0),1,25))</f>
        <v/>
      </c>
      <c r="L494" s="19"/>
      <c r="M494" s="20"/>
      <c r="N494" s="1"/>
      <c r="O494" s="2"/>
      <c r="P494" s="58"/>
      <c r="Q494" s="58"/>
      <c r="R494" s="58"/>
      <c r="S494" s="55"/>
      <c r="T494" s="36"/>
    </row>
    <row r="495" spans="1:20" s="37" customFormat="1" x14ac:dyDescent="0.25">
      <c r="A495" s="33"/>
      <c r="B495" s="54" t="str">
        <f t="shared" si="35"/>
        <v>K4B6</v>
      </c>
      <c r="C495" s="56" t="str">
        <f t="shared" si="36"/>
        <v>OBRA</v>
      </c>
      <c r="D495" s="56"/>
      <c r="E495" s="54" t="str">
        <f t="shared" si="37"/>
        <v/>
      </c>
      <c r="F495" s="22" t="str">
        <f t="shared" si="38"/>
        <v/>
      </c>
      <c r="G495" s="22" t="str">
        <f t="shared" si="39"/>
        <v/>
      </c>
      <c r="H495" s="49"/>
      <c r="I495" s="57" t="str">
        <f>IF(H495="","",MID(VLOOKUP(H495,Codigo_Material!$A$2:$C$9999,2,0),1,30))</f>
        <v/>
      </c>
      <c r="J495" s="57"/>
      <c r="K495" s="54" t="str">
        <f>IF(H495="","",MID(VLOOKUP(H495,Codigo_Material!$A$2:$C$6426,3,0),1,25))</f>
        <v/>
      </c>
      <c r="L495" s="19"/>
      <c r="M495" s="20"/>
      <c r="N495" s="1"/>
      <c r="O495" s="2"/>
      <c r="P495" s="58"/>
      <c r="Q495" s="58"/>
      <c r="R495" s="58"/>
      <c r="S495" s="55"/>
      <c r="T495" s="36"/>
    </row>
    <row r="496" spans="1:20" s="37" customFormat="1" x14ac:dyDescent="0.25">
      <c r="A496" s="33"/>
      <c r="B496" s="54" t="str">
        <f t="shared" si="35"/>
        <v>K4B6</v>
      </c>
      <c r="C496" s="56" t="str">
        <f t="shared" si="36"/>
        <v>OBRA</v>
      </c>
      <c r="D496" s="56"/>
      <c r="E496" s="54" t="str">
        <f t="shared" si="37"/>
        <v/>
      </c>
      <c r="F496" s="22" t="str">
        <f t="shared" si="38"/>
        <v/>
      </c>
      <c r="G496" s="22" t="str">
        <f t="shared" si="39"/>
        <v/>
      </c>
      <c r="H496" s="49"/>
      <c r="I496" s="57" t="str">
        <f>IF(H496="","",MID(VLOOKUP(H496,Codigo_Material!$A$2:$C$9999,2,0),1,30))</f>
        <v/>
      </c>
      <c r="J496" s="57"/>
      <c r="K496" s="54" t="str">
        <f>IF(H496="","",MID(VLOOKUP(H496,Codigo_Material!$A$2:$C$6426,3,0),1,25))</f>
        <v/>
      </c>
      <c r="L496" s="19"/>
      <c r="M496" s="20"/>
      <c r="N496" s="1"/>
      <c r="O496" s="2"/>
      <c r="P496" s="58"/>
      <c r="Q496" s="58"/>
      <c r="R496" s="58"/>
      <c r="S496" s="55"/>
      <c r="T496" s="36"/>
    </row>
    <row r="497" spans="1:20" s="37" customFormat="1" x14ac:dyDescent="0.25">
      <c r="A497" s="33"/>
      <c r="B497" s="54" t="str">
        <f t="shared" si="35"/>
        <v>K4B6</v>
      </c>
      <c r="C497" s="56" t="str">
        <f t="shared" si="36"/>
        <v>OBRA</v>
      </c>
      <c r="D497" s="56"/>
      <c r="E497" s="54" t="str">
        <f t="shared" si="37"/>
        <v/>
      </c>
      <c r="F497" s="22" t="str">
        <f t="shared" si="38"/>
        <v/>
      </c>
      <c r="G497" s="22" t="str">
        <f t="shared" si="39"/>
        <v/>
      </c>
      <c r="H497" s="49"/>
      <c r="I497" s="57" t="str">
        <f>IF(H497="","",MID(VLOOKUP(H497,Codigo_Material!$A$2:$C$9999,2,0),1,30))</f>
        <v/>
      </c>
      <c r="J497" s="57"/>
      <c r="K497" s="54" t="str">
        <f>IF(H497="","",MID(VLOOKUP(H497,Codigo_Material!$A$2:$C$6426,3,0),1,25))</f>
        <v/>
      </c>
      <c r="L497" s="19"/>
      <c r="M497" s="20"/>
      <c r="N497" s="1"/>
      <c r="O497" s="2"/>
      <c r="P497" s="58"/>
      <c r="Q497" s="58"/>
      <c r="R497" s="58"/>
      <c r="S497" s="55"/>
      <c r="T497" s="36"/>
    </row>
    <row r="498" spans="1:20" s="37" customFormat="1" x14ac:dyDescent="0.25">
      <c r="A498" s="33"/>
      <c r="B498" s="54" t="str">
        <f t="shared" si="35"/>
        <v>K4B6</v>
      </c>
      <c r="C498" s="56" t="str">
        <f t="shared" si="36"/>
        <v>OBRA</v>
      </c>
      <c r="D498" s="56"/>
      <c r="E498" s="54" t="str">
        <f t="shared" si="37"/>
        <v/>
      </c>
      <c r="F498" s="22" t="str">
        <f t="shared" si="38"/>
        <v/>
      </c>
      <c r="G498" s="22" t="str">
        <f t="shared" si="39"/>
        <v/>
      </c>
      <c r="H498" s="49"/>
      <c r="I498" s="57" t="str">
        <f>IF(H498="","",MID(VLOOKUP(H498,Codigo_Material!$A$2:$C$9999,2,0),1,30))</f>
        <v/>
      </c>
      <c r="J498" s="57"/>
      <c r="K498" s="54" t="str">
        <f>IF(H498="","",MID(VLOOKUP(H498,Codigo_Material!$A$2:$C$6426,3,0),1,25))</f>
        <v/>
      </c>
      <c r="L498" s="19"/>
      <c r="M498" s="20"/>
      <c r="N498" s="1"/>
      <c r="O498" s="2"/>
      <c r="P498" s="58"/>
      <c r="Q498" s="58"/>
      <c r="R498" s="58"/>
      <c r="S498" s="55"/>
      <c r="T498" s="36"/>
    </row>
    <row r="499" spans="1:20" s="37" customFormat="1" x14ac:dyDescent="0.25">
      <c r="A499" s="33"/>
      <c r="B499" s="54" t="str">
        <f t="shared" si="35"/>
        <v>K4B6</v>
      </c>
      <c r="C499" s="56" t="str">
        <f t="shared" si="36"/>
        <v>OBRA</v>
      </c>
      <c r="D499" s="56"/>
      <c r="E499" s="54" t="str">
        <f t="shared" si="37"/>
        <v/>
      </c>
      <c r="F499" s="22" t="str">
        <f t="shared" si="38"/>
        <v/>
      </c>
      <c r="G499" s="22" t="str">
        <f t="shared" si="39"/>
        <v/>
      </c>
      <c r="H499" s="49"/>
      <c r="I499" s="57" t="str">
        <f>IF(H499="","",MID(VLOOKUP(H499,Codigo_Material!$A$2:$C$9999,2,0),1,30))</f>
        <v/>
      </c>
      <c r="J499" s="57"/>
      <c r="K499" s="54" t="str">
        <f>IF(H499="","",MID(VLOOKUP(H499,Codigo_Material!$A$2:$C$6426,3,0),1,25))</f>
        <v/>
      </c>
      <c r="L499" s="19"/>
      <c r="M499" s="20"/>
      <c r="N499" s="1"/>
      <c r="O499" s="2"/>
      <c r="P499" s="58"/>
      <c r="Q499" s="58"/>
      <c r="R499" s="58"/>
      <c r="S499" s="55"/>
      <c r="T499" s="36"/>
    </row>
    <row r="500" spans="1:20" s="37" customFormat="1" x14ac:dyDescent="0.25">
      <c r="A500" s="33"/>
      <c r="B500" s="54" t="str">
        <f t="shared" si="35"/>
        <v>K4B6</v>
      </c>
      <c r="C500" s="56" t="str">
        <f t="shared" si="36"/>
        <v>OBRA</v>
      </c>
      <c r="D500" s="56"/>
      <c r="E500" s="54" t="str">
        <f t="shared" si="37"/>
        <v/>
      </c>
      <c r="F500" s="22" t="str">
        <f t="shared" si="38"/>
        <v/>
      </c>
      <c r="G500" s="22" t="str">
        <f t="shared" si="39"/>
        <v/>
      </c>
      <c r="H500" s="49"/>
      <c r="I500" s="57" t="str">
        <f>IF(H500="","",MID(VLOOKUP(H500,Codigo_Material!$A$2:$C$9999,2,0),1,30))</f>
        <v/>
      </c>
      <c r="J500" s="57"/>
      <c r="K500" s="54" t="str">
        <f>IF(H500="","",MID(VLOOKUP(H500,Codigo_Material!$A$2:$C$6426,3,0),1,25))</f>
        <v/>
      </c>
      <c r="L500" s="19"/>
      <c r="M500" s="20"/>
      <c r="N500" s="1"/>
      <c r="O500" s="2"/>
      <c r="P500" s="58"/>
      <c r="Q500" s="58"/>
      <c r="R500" s="58"/>
      <c r="S500" s="55"/>
      <c r="T500" s="36"/>
    </row>
    <row r="501" spans="1:20" ht="6" customHeight="1" x14ac:dyDescent="0.25">
      <c r="A501" s="29"/>
      <c r="B501" s="30"/>
      <c r="C501" s="30"/>
      <c r="D501" s="30"/>
      <c r="E501" s="30"/>
      <c r="F501" s="30"/>
      <c r="G501" s="30"/>
      <c r="H501" s="47"/>
      <c r="I501" s="30"/>
      <c r="J501" s="30"/>
      <c r="K501" s="30"/>
      <c r="L501" s="47"/>
      <c r="M501" s="47"/>
      <c r="N501" s="47"/>
      <c r="O501" s="47"/>
      <c r="P501" s="47"/>
      <c r="Q501" s="47"/>
      <c r="R501" s="47"/>
      <c r="S501" s="47"/>
      <c r="T501" s="31"/>
    </row>
  </sheetData>
  <sheetProtection insertRows="0" deleteRows="0"/>
  <autoFilter ref="A9:T9">
    <filterColumn colId="2" showButton="0"/>
    <filterColumn colId="8" showButton="0"/>
    <filterColumn colId="15" showButton="0"/>
    <filterColumn colId="16" showButton="0"/>
  </autoFilter>
  <mergeCells count="1488">
    <mergeCell ref="E2:S2"/>
    <mergeCell ref="E3:S3"/>
    <mergeCell ref="C11:D11"/>
    <mergeCell ref="I11:J11"/>
    <mergeCell ref="P11:R11"/>
    <mergeCell ref="C12:D12"/>
    <mergeCell ref="I12:J12"/>
    <mergeCell ref="P12:R12"/>
    <mergeCell ref="B5:C5"/>
    <mergeCell ref="H5:I5"/>
    <mergeCell ref="K5:N5"/>
    <mergeCell ref="O5:P5"/>
    <mergeCell ref="Q5:S5"/>
    <mergeCell ref="B7:C7"/>
    <mergeCell ref="C13:D13"/>
    <mergeCell ref="I13:J13"/>
    <mergeCell ref="P13:R13"/>
    <mergeCell ref="I17:J17"/>
    <mergeCell ref="P17:R17"/>
    <mergeCell ref="C18:D18"/>
    <mergeCell ref="P16:R16"/>
    <mergeCell ref="C17:D17"/>
    <mergeCell ref="C14:D14"/>
    <mergeCell ref="I14:J14"/>
    <mergeCell ref="P14:R14"/>
    <mergeCell ref="C15:D15"/>
    <mergeCell ref="I15:J15"/>
    <mergeCell ref="R7:S7"/>
    <mergeCell ref="C9:D9"/>
    <mergeCell ref="I9:J9"/>
    <mergeCell ref="P9:R9"/>
    <mergeCell ref="C10:D10"/>
    <mergeCell ref="I10:J10"/>
    <mergeCell ref="P10:R10"/>
    <mergeCell ref="K7:M7"/>
    <mergeCell ref="D7:I7"/>
    <mergeCell ref="N7:O7"/>
    <mergeCell ref="P15:R15"/>
    <mergeCell ref="C16:D16"/>
    <mergeCell ref="I16:J16"/>
    <mergeCell ref="P18:R18"/>
    <mergeCell ref="I18:J18"/>
    <mergeCell ref="C25:D25"/>
    <mergeCell ref="I25:J25"/>
    <mergeCell ref="P25:R25"/>
    <mergeCell ref="C26:D26"/>
    <mergeCell ref="I26:J26"/>
    <mergeCell ref="P26:R26"/>
    <mergeCell ref="C23:D23"/>
    <mergeCell ref="I23:J23"/>
    <mergeCell ref="P23:R23"/>
    <mergeCell ref="C24:D24"/>
    <mergeCell ref="I24:J24"/>
    <mergeCell ref="P24:R24"/>
    <mergeCell ref="C22:D22"/>
    <mergeCell ref="I22:J22"/>
    <mergeCell ref="P22:R22"/>
    <mergeCell ref="C19:D19"/>
    <mergeCell ref="I19:J19"/>
    <mergeCell ref="P19:R19"/>
    <mergeCell ref="P21:R21"/>
    <mergeCell ref="C21:D21"/>
    <mergeCell ref="I21:J21"/>
    <mergeCell ref="C20:D20"/>
    <mergeCell ref="I20:J20"/>
    <mergeCell ref="P20:R20"/>
    <mergeCell ref="C31:D31"/>
    <mergeCell ref="I31:J31"/>
    <mergeCell ref="P31:R31"/>
    <mergeCell ref="C32:D32"/>
    <mergeCell ref="I32:J32"/>
    <mergeCell ref="P32:R32"/>
    <mergeCell ref="C29:D29"/>
    <mergeCell ref="I29:J29"/>
    <mergeCell ref="P29:R29"/>
    <mergeCell ref="C30:D30"/>
    <mergeCell ref="I30:J30"/>
    <mergeCell ref="P30:R30"/>
    <mergeCell ref="C27:D27"/>
    <mergeCell ref="I27:J27"/>
    <mergeCell ref="P27:R27"/>
    <mergeCell ref="C28:D28"/>
    <mergeCell ref="I28:J28"/>
    <mergeCell ref="P28:R28"/>
    <mergeCell ref="C37:D37"/>
    <mergeCell ref="I37:J37"/>
    <mergeCell ref="P37:R37"/>
    <mergeCell ref="C38:D38"/>
    <mergeCell ref="I38:J38"/>
    <mergeCell ref="P38:R38"/>
    <mergeCell ref="C35:D35"/>
    <mergeCell ref="I35:J35"/>
    <mergeCell ref="P35:R35"/>
    <mergeCell ref="C36:D36"/>
    <mergeCell ref="I36:J36"/>
    <mergeCell ref="P36:R36"/>
    <mergeCell ref="C33:D33"/>
    <mergeCell ref="I33:J33"/>
    <mergeCell ref="P33:R33"/>
    <mergeCell ref="C34:D34"/>
    <mergeCell ref="I34:J34"/>
    <mergeCell ref="P34:R34"/>
    <mergeCell ref="C43:D43"/>
    <mergeCell ref="I43:J43"/>
    <mergeCell ref="P43:R43"/>
    <mergeCell ref="C44:D44"/>
    <mergeCell ref="I44:J44"/>
    <mergeCell ref="P44:R44"/>
    <mergeCell ref="C41:D41"/>
    <mergeCell ref="I41:J41"/>
    <mergeCell ref="P41:R41"/>
    <mergeCell ref="C42:D42"/>
    <mergeCell ref="I42:J42"/>
    <mergeCell ref="P42:R42"/>
    <mergeCell ref="C39:D39"/>
    <mergeCell ref="I39:J39"/>
    <mergeCell ref="P39:R39"/>
    <mergeCell ref="C40:D40"/>
    <mergeCell ref="I40:J40"/>
    <mergeCell ref="P40:R40"/>
    <mergeCell ref="C49:D49"/>
    <mergeCell ref="I49:J49"/>
    <mergeCell ref="P49:R49"/>
    <mergeCell ref="C50:D50"/>
    <mergeCell ref="I50:J50"/>
    <mergeCell ref="P50:R50"/>
    <mergeCell ref="C47:D47"/>
    <mergeCell ref="I47:J47"/>
    <mergeCell ref="P47:R47"/>
    <mergeCell ref="C48:D48"/>
    <mergeCell ref="I48:J48"/>
    <mergeCell ref="P48:R48"/>
    <mergeCell ref="C45:D45"/>
    <mergeCell ref="I45:J45"/>
    <mergeCell ref="P45:R45"/>
    <mergeCell ref="C46:D46"/>
    <mergeCell ref="I46:J46"/>
    <mergeCell ref="P46:R46"/>
    <mergeCell ref="C55:D55"/>
    <mergeCell ref="I55:J55"/>
    <mergeCell ref="P55:R55"/>
    <mergeCell ref="C56:D56"/>
    <mergeCell ref="I56:J56"/>
    <mergeCell ref="P56:R56"/>
    <mergeCell ref="C53:D53"/>
    <mergeCell ref="I53:J53"/>
    <mergeCell ref="P53:R53"/>
    <mergeCell ref="C54:D54"/>
    <mergeCell ref="I54:J54"/>
    <mergeCell ref="P54:R54"/>
    <mergeCell ref="C51:D51"/>
    <mergeCell ref="I51:J51"/>
    <mergeCell ref="P51:R51"/>
    <mergeCell ref="C52:D52"/>
    <mergeCell ref="I52:J52"/>
    <mergeCell ref="P52:R52"/>
    <mergeCell ref="C61:D61"/>
    <mergeCell ref="I61:J61"/>
    <mergeCell ref="P61:R61"/>
    <mergeCell ref="C62:D62"/>
    <mergeCell ref="I62:J62"/>
    <mergeCell ref="P62:R62"/>
    <mergeCell ref="C59:D59"/>
    <mergeCell ref="I59:J59"/>
    <mergeCell ref="P59:R59"/>
    <mergeCell ref="C60:D60"/>
    <mergeCell ref="I60:J60"/>
    <mergeCell ref="P60:R60"/>
    <mergeCell ref="C57:D57"/>
    <mergeCell ref="I57:J57"/>
    <mergeCell ref="P57:R57"/>
    <mergeCell ref="C58:D58"/>
    <mergeCell ref="I58:J58"/>
    <mergeCell ref="P58:R58"/>
    <mergeCell ref="C67:D67"/>
    <mergeCell ref="I67:J67"/>
    <mergeCell ref="P67:R67"/>
    <mergeCell ref="C68:D68"/>
    <mergeCell ref="I68:J68"/>
    <mergeCell ref="P68:R68"/>
    <mergeCell ref="C65:D65"/>
    <mergeCell ref="I65:J65"/>
    <mergeCell ref="P65:R65"/>
    <mergeCell ref="C66:D66"/>
    <mergeCell ref="I66:J66"/>
    <mergeCell ref="P66:R66"/>
    <mergeCell ref="C63:D63"/>
    <mergeCell ref="I63:J63"/>
    <mergeCell ref="P63:R63"/>
    <mergeCell ref="C64:D64"/>
    <mergeCell ref="I64:J64"/>
    <mergeCell ref="P64:R64"/>
    <mergeCell ref="C73:D73"/>
    <mergeCell ref="I73:J73"/>
    <mergeCell ref="P73:R73"/>
    <mergeCell ref="C74:D74"/>
    <mergeCell ref="I74:J74"/>
    <mergeCell ref="P74:R74"/>
    <mergeCell ref="C71:D71"/>
    <mergeCell ref="I71:J71"/>
    <mergeCell ref="P71:R71"/>
    <mergeCell ref="C72:D72"/>
    <mergeCell ref="I72:J72"/>
    <mergeCell ref="P72:R72"/>
    <mergeCell ref="C69:D69"/>
    <mergeCell ref="I69:J69"/>
    <mergeCell ref="P69:R69"/>
    <mergeCell ref="C70:D70"/>
    <mergeCell ref="I70:J70"/>
    <mergeCell ref="P70:R70"/>
    <mergeCell ref="C79:D79"/>
    <mergeCell ref="I79:J79"/>
    <mergeCell ref="P79:R79"/>
    <mergeCell ref="C80:D80"/>
    <mergeCell ref="I80:J80"/>
    <mergeCell ref="P80:R80"/>
    <mergeCell ref="C77:D77"/>
    <mergeCell ref="I77:J77"/>
    <mergeCell ref="P77:R77"/>
    <mergeCell ref="C78:D78"/>
    <mergeCell ref="I78:J78"/>
    <mergeCell ref="P78:R78"/>
    <mergeCell ref="C75:D75"/>
    <mergeCell ref="I75:J75"/>
    <mergeCell ref="P75:R75"/>
    <mergeCell ref="C76:D76"/>
    <mergeCell ref="I76:J76"/>
    <mergeCell ref="P76:R76"/>
    <mergeCell ref="C85:D85"/>
    <mergeCell ref="I85:J85"/>
    <mergeCell ref="P85:R85"/>
    <mergeCell ref="C86:D86"/>
    <mergeCell ref="I86:J86"/>
    <mergeCell ref="P86:R86"/>
    <mergeCell ref="C83:D83"/>
    <mergeCell ref="I83:J83"/>
    <mergeCell ref="P83:R83"/>
    <mergeCell ref="C84:D84"/>
    <mergeCell ref="I84:J84"/>
    <mergeCell ref="P84:R84"/>
    <mergeCell ref="C81:D81"/>
    <mergeCell ref="I81:J81"/>
    <mergeCell ref="P81:R81"/>
    <mergeCell ref="C82:D82"/>
    <mergeCell ref="I82:J82"/>
    <mergeCell ref="P82:R82"/>
    <mergeCell ref="C91:D91"/>
    <mergeCell ref="I91:J91"/>
    <mergeCell ref="P91:R91"/>
    <mergeCell ref="C92:D92"/>
    <mergeCell ref="I92:J92"/>
    <mergeCell ref="P92:R92"/>
    <mergeCell ref="C89:D89"/>
    <mergeCell ref="I89:J89"/>
    <mergeCell ref="P89:R89"/>
    <mergeCell ref="C90:D90"/>
    <mergeCell ref="I90:J90"/>
    <mergeCell ref="P90:R90"/>
    <mergeCell ref="C87:D87"/>
    <mergeCell ref="I87:J87"/>
    <mergeCell ref="P87:R87"/>
    <mergeCell ref="C88:D88"/>
    <mergeCell ref="I88:J88"/>
    <mergeCell ref="P88:R88"/>
    <mergeCell ref="C97:D97"/>
    <mergeCell ref="I97:J97"/>
    <mergeCell ref="P97:R97"/>
    <mergeCell ref="C98:D98"/>
    <mergeCell ref="I98:J98"/>
    <mergeCell ref="P98:R98"/>
    <mergeCell ref="C95:D95"/>
    <mergeCell ref="I95:J95"/>
    <mergeCell ref="P95:R95"/>
    <mergeCell ref="C96:D96"/>
    <mergeCell ref="I96:J96"/>
    <mergeCell ref="P96:R96"/>
    <mergeCell ref="C93:D93"/>
    <mergeCell ref="I93:J93"/>
    <mergeCell ref="P93:R93"/>
    <mergeCell ref="C94:D94"/>
    <mergeCell ref="I94:J94"/>
    <mergeCell ref="P94:R94"/>
    <mergeCell ref="C103:D103"/>
    <mergeCell ref="I103:J103"/>
    <mergeCell ref="P103:R103"/>
    <mergeCell ref="C104:D104"/>
    <mergeCell ref="I104:J104"/>
    <mergeCell ref="P104:R104"/>
    <mergeCell ref="C101:D101"/>
    <mergeCell ref="I101:J101"/>
    <mergeCell ref="P101:R101"/>
    <mergeCell ref="C102:D102"/>
    <mergeCell ref="I102:J102"/>
    <mergeCell ref="P102:R102"/>
    <mergeCell ref="C99:D99"/>
    <mergeCell ref="I99:J99"/>
    <mergeCell ref="P99:R99"/>
    <mergeCell ref="C100:D100"/>
    <mergeCell ref="I100:J100"/>
    <mergeCell ref="P100:R100"/>
    <mergeCell ref="C109:D109"/>
    <mergeCell ref="I109:J109"/>
    <mergeCell ref="P109:R109"/>
    <mergeCell ref="C110:D110"/>
    <mergeCell ref="I110:J110"/>
    <mergeCell ref="P110:R110"/>
    <mergeCell ref="C107:D107"/>
    <mergeCell ref="I107:J107"/>
    <mergeCell ref="P107:R107"/>
    <mergeCell ref="C108:D108"/>
    <mergeCell ref="I108:J108"/>
    <mergeCell ref="P108:R108"/>
    <mergeCell ref="C105:D105"/>
    <mergeCell ref="I105:J105"/>
    <mergeCell ref="P105:R105"/>
    <mergeCell ref="C106:D106"/>
    <mergeCell ref="I106:J106"/>
    <mergeCell ref="P106:R106"/>
    <mergeCell ref="C115:D115"/>
    <mergeCell ref="I115:J115"/>
    <mergeCell ref="P115:R115"/>
    <mergeCell ref="C116:D116"/>
    <mergeCell ref="I116:J116"/>
    <mergeCell ref="P116:R116"/>
    <mergeCell ref="C113:D113"/>
    <mergeCell ref="I113:J113"/>
    <mergeCell ref="P113:R113"/>
    <mergeCell ref="C114:D114"/>
    <mergeCell ref="I114:J114"/>
    <mergeCell ref="P114:R114"/>
    <mergeCell ref="C111:D111"/>
    <mergeCell ref="I111:J111"/>
    <mergeCell ref="P111:R111"/>
    <mergeCell ref="C112:D112"/>
    <mergeCell ref="I112:J112"/>
    <mergeCell ref="P112:R112"/>
    <mergeCell ref="C121:D121"/>
    <mergeCell ref="I121:J121"/>
    <mergeCell ref="P121:R121"/>
    <mergeCell ref="C122:D122"/>
    <mergeCell ref="I122:J122"/>
    <mergeCell ref="P122:R122"/>
    <mergeCell ref="C119:D119"/>
    <mergeCell ref="I119:J119"/>
    <mergeCell ref="P119:R119"/>
    <mergeCell ref="C120:D120"/>
    <mergeCell ref="I120:J120"/>
    <mergeCell ref="P120:R120"/>
    <mergeCell ref="C117:D117"/>
    <mergeCell ref="I117:J117"/>
    <mergeCell ref="P117:R117"/>
    <mergeCell ref="C118:D118"/>
    <mergeCell ref="I118:J118"/>
    <mergeCell ref="P118:R118"/>
    <mergeCell ref="C127:D127"/>
    <mergeCell ref="I127:J127"/>
    <mergeCell ref="P127:R127"/>
    <mergeCell ref="C128:D128"/>
    <mergeCell ref="I128:J128"/>
    <mergeCell ref="P128:R128"/>
    <mergeCell ref="C125:D125"/>
    <mergeCell ref="I125:J125"/>
    <mergeCell ref="P125:R125"/>
    <mergeCell ref="C126:D126"/>
    <mergeCell ref="I126:J126"/>
    <mergeCell ref="P126:R126"/>
    <mergeCell ref="C123:D123"/>
    <mergeCell ref="I123:J123"/>
    <mergeCell ref="P123:R123"/>
    <mergeCell ref="C124:D124"/>
    <mergeCell ref="I124:J124"/>
    <mergeCell ref="P124:R124"/>
    <mergeCell ref="C133:D133"/>
    <mergeCell ref="I133:J133"/>
    <mergeCell ref="P133:R133"/>
    <mergeCell ref="C134:D134"/>
    <mergeCell ref="I134:J134"/>
    <mergeCell ref="P134:R134"/>
    <mergeCell ref="C131:D131"/>
    <mergeCell ref="I131:J131"/>
    <mergeCell ref="P131:R131"/>
    <mergeCell ref="C132:D132"/>
    <mergeCell ref="I132:J132"/>
    <mergeCell ref="P132:R132"/>
    <mergeCell ref="C129:D129"/>
    <mergeCell ref="I129:J129"/>
    <mergeCell ref="P129:R129"/>
    <mergeCell ref="C130:D130"/>
    <mergeCell ref="I130:J130"/>
    <mergeCell ref="P130:R130"/>
    <mergeCell ref="C139:D139"/>
    <mergeCell ref="I139:J139"/>
    <mergeCell ref="P139:R139"/>
    <mergeCell ref="C140:D140"/>
    <mergeCell ref="I140:J140"/>
    <mergeCell ref="P140:R140"/>
    <mergeCell ref="C137:D137"/>
    <mergeCell ref="I137:J137"/>
    <mergeCell ref="P137:R137"/>
    <mergeCell ref="C138:D138"/>
    <mergeCell ref="I138:J138"/>
    <mergeCell ref="P138:R138"/>
    <mergeCell ref="C135:D135"/>
    <mergeCell ref="I135:J135"/>
    <mergeCell ref="P135:R135"/>
    <mergeCell ref="C136:D136"/>
    <mergeCell ref="I136:J136"/>
    <mergeCell ref="P136:R136"/>
    <mergeCell ref="C145:D145"/>
    <mergeCell ref="I145:J145"/>
    <mergeCell ref="P145:R145"/>
    <mergeCell ref="C146:D146"/>
    <mergeCell ref="I146:J146"/>
    <mergeCell ref="P146:R146"/>
    <mergeCell ref="C143:D143"/>
    <mergeCell ref="I143:J143"/>
    <mergeCell ref="P143:R143"/>
    <mergeCell ref="C144:D144"/>
    <mergeCell ref="I144:J144"/>
    <mergeCell ref="P144:R144"/>
    <mergeCell ref="C141:D141"/>
    <mergeCell ref="I141:J141"/>
    <mergeCell ref="P141:R141"/>
    <mergeCell ref="C142:D142"/>
    <mergeCell ref="I142:J142"/>
    <mergeCell ref="P142:R142"/>
    <mergeCell ref="C151:D151"/>
    <mergeCell ref="I151:J151"/>
    <mergeCell ref="P151:R151"/>
    <mergeCell ref="C152:D152"/>
    <mergeCell ref="I152:J152"/>
    <mergeCell ref="P152:R152"/>
    <mergeCell ref="C149:D149"/>
    <mergeCell ref="I149:J149"/>
    <mergeCell ref="P149:R149"/>
    <mergeCell ref="C150:D150"/>
    <mergeCell ref="I150:J150"/>
    <mergeCell ref="P150:R150"/>
    <mergeCell ref="C147:D147"/>
    <mergeCell ref="I147:J147"/>
    <mergeCell ref="P147:R147"/>
    <mergeCell ref="C148:D148"/>
    <mergeCell ref="I148:J148"/>
    <mergeCell ref="P148:R148"/>
    <mergeCell ref="C157:D157"/>
    <mergeCell ref="I157:J157"/>
    <mergeCell ref="P157:R157"/>
    <mergeCell ref="C158:D158"/>
    <mergeCell ref="I158:J158"/>
    <mergeCell ref="P158:R158"/>
    <mergeCell ref="C155:D155"/>
    <mergeCell ref="I155:J155"/>
    <mergeCell ref="P155:R155"/>
    <mergeCell ref="C156:D156"/>
    <mergeCell ref="I156:J156"/>
    <mergeCell ref="P156:R156"/>
    <mergeCell ref="C153:D153"/>
    <mergeCell ref="I153:J153"/>
    <mergeCell ref="P153:R153"/>
    <mergeCell ref="C154:D154"/>
    <mergeCell ref="I154:J154"/>
    <mergeCell ref="P154:R154"/>
    <mergeCell ref="C163:D163"/>
    <mergeCell ref="I163:J163"/>
    <mergeCell ref="P163:R163"/>
    <mergeCell ref="C164:D164"/>
    <mergeCell ref="I164:J164"/>
    <mergeCell ref="P164:R164"/>
    <mergeCell ref="C161:D161"/>
    <mergeCell ref="I161:J161"/>
    <mergeCell ref="P161:R161"/>
    <mergeCell ref="C162:D162"/>
    <mergeCell ref="I162:J162"/>
    <mergeCell ref="P162:R162"/>
    <mergeCell ref="C159:D159"/>
    <mergeCell ref="I159:J159"/>
    <mergeCell ref="P159:R159"/>
    <mergeCell ref="C160:D160"/>
    <mergeCell ref="I160:J160"/>
    <mergeCell ref="P160:R160"/>
    <mergeCell ref="C169:D169"/>
    <mergeCell ref="I169:J169"/>
    <mergeCell ref="P169:R169"/>
    <mergeCell ref="C170:D170"/>
    <mergeCell ref="I170:J170"/>
    <mergeCell ref="P170:R170"/>
    <mergeCell ref="C167:D167"/>
    <mergeCell ref="I167:J167"/>
    <mergeCell ref="P167:R167"/>
    <mergeCell ref="C168:D168"/>
    <mergeCell ref="I168:J168"/>
    <mergeCell ref="P168:R168"/>
    <mergeCell ref="C165:D165"/>
    <mergeCell ref="I165:J165"/>
    <mergeCell ref="P165:R165"/>
    <mergeCell ref="C166:D166"/>
    <mergeCell ref="I166:J166"/>
    <mergeCell ref="P166:R166"/>
    <mergeCell ref="C175:D175"/>
    <mergeCell ref="I175:J175"/>
    <mergeCell ref="P175:R175"/>
    <mergeCell ref="C176:D176"/>
    <mergeCell ref="I176:J176"/>
    <mergeCell ref="P176:R176"/>
    <mergeCell ref="C173:D173"/>
    <mergeCell ref="I173:J173"/>
    <mergeCell ref="P173:R173"/>
    <mergeCell ref="C174:D174"/>
    <mergeCell ref="I174:J174"/>
    <mergeCell ref="P174:R174"/>
    <mergeCell ref="C171:D171"/>
    <mergeCell ref="I171:J171"/>
    <mergeCell ref="P171:R171"/>
    <mergeCell ref="C172:D172"/>
    <mergeCell ref="I172:J172"/>
    <mergeCell ref="P172:R172"/>
    <mergeCell ref="C181:D181"/>
    <mergeCell ref="I181:J181"/>
    <mergeCell ref="P181:R181"/>
    <mergeCell ref="C182:D182"/>
    <mergeCell ref="I182:J182"/>
    <mergeCell ref="P182:R182"/>
    <mergeCell ref="C179:D179"/>
    <mergeCell ref="I179:J179"/>
    <mergeCell ref="P179:R179"/>
    <mergeCell ref="C180:D180"/>
    <mergeCell ref="I180:J180"/>
    <mergeCell ref="P180:R180"/>
    <mergeCell ref="C177:D177"/>
    <mergeCell ref="I177:J177"/>
    <mergeCell ref="P177:R177"/>
    <mergeCell ref="C178:D178"/>
    <mergeCell ref="I178:J178"/>
    <mergeCell ref="P178:R178"/>
    <mergeCell ref="C187:D187"/>
    <mergeCell ref="I187:J187"/>
    <mergeCell ref="P187:R187"/>
    <mergeCell ref="C188:D188"/>
    <mergeCell ref="I188:J188"/>
    <mergeCell ref="P188:R188"/>
    <mergeCell ref="C185:D185"/>
    <mergeCell ref="I185:J185"/>
    <mergeCell ref="P185:R185"/>
    <mergeCell ref="C186:D186"/>
    <mergeCell ref="I186:J186"/>
    <mergeCell ref="P186:R186"/>
    <mergeCell ref="C183:D183"/>
    <mergeCell ref="I183:J183"/>
    <mergeCell ref="P183:R183"/>
    <mergeCell ref="C184:D184"/>
    <mergeCell ref="I184:J184"/>
    <mergeCell ref="P184:R184"/>
    <mergeCell ref="C193:D193"/>
    <mergeCell ref="I193:J193"/>
    <mergeCell ref="P193:R193"/>
    <mergeCell ref="C194:D194"/>
    <mergeCell ref="I194:J194"/>
    <mergeCell ref="P194:R194"/>
    <mergeCell ref="C191:D191"/>
    <mergeCell ref="I191:J191"/>
    <mergeCell ref="P191:R191"/>
    <mergeCell ref="C192:D192"/>
    <mergeCell ref="I192:J192"/>
    <mergeCell ref="P192:R192"/>
    <mergeCell ref="C189:D189"/>
    <mergeCell ref="I189:J189"/>
    <mergeCell ref="P189:R189"/>
    <mergeCell ref="C190:D190"/>
    <mergeCell ref="I190:J190"/>
    <mergeCell ref="P190:R190"/>
    <mergeCell ref="C199:D199"/>
    <mergeCell ref="I199:J199"/>
    <mergeCell ref="P199:R199"/>
    <mergeCell ref="C200:D200"/>
    <mergeCell ref="I200:J200"/>
    <mergeCell ref="P200:R200"/>
    <mergeCell ref="C197:D197"/>
    <mergeCell ref="I197:J197"/>
    <mergeCell ref="P197:R197"/>
    <mergeCell ref="C198:D198"/>
    <mergeCell ref="I198:J198"/>
    <mergeCell ref="P198:R198"/>
    <mergeCell ref="C195:D195"/>
    <mergeCell ref="I195:J195"/>
    <mergeCell ref="P195:R195"/>
    <mergeCell ref="C196:D196"/>
    <mergeCell ref="I196:J196"/>
    <mergeCell ref="P196:R196"/>
    <mergeCell ref="C205:D205"/>
    <mergeCell ref="I205:J205"/>
    <mergeCell ref="P205:R205"/>
    <mergeCell ref="C206:D206"/>
    <mergeCell ref="I206:J206"/>
    <mergeCell ref="P206:R206"/>
    <mergeCell ref="C203:D203"/>
    <mergeCell ref="I203:J203"/>
    <mergeCell ref="P203:R203"/>
    <mergeCell ref="C204:D204"/>
    <mergeCell ref="I204:J204"/>
    <mergeCell ref="P204:R204"/>
    <mergeCell ref="C201:D201"/>
    <mergeCell ref="I201:J201"/>
    <mergeCell ref="P201:R201"/>
    <mergeCell ref="C202:D202"/>
    <mergeCell ref="I202:J202"/>
    <mergeCell ref="P202:R202"/>
    <mergeCell ref="C211:D211"/>
    <mergeCell ref="I211:J211"/>
    <mergeCell ref="P211:R211"/>
    <mergeCell ref="C212:D212"/>
    <mergeCell ref="I212:J212"/>
    <mergeCell ref="P212:R212"/>
    <mergeCell ref="C209:D209"/>
    <mergeCell ref="I209:J209"/>
    <mergeCell ref="P209:R209"/>
    <mergeCell ref="C210:D210"/>
    <mergeCell ref="I210:J210"/>
    <mergeCell ref="P210:R210"/>
    <mergeCell ref="C207:D207"/>
    <mergeCell ref="I207:J207"/>
    <mergeCell ref="P207:R207"/>
    <mergeCell ref="C208:D208"/>
    <mergeCell ref="I208:J208"/>
    <mergeCell ref="P208:R208"/>
    <mergeCell ref="C217:D217"/>
    <mergeCell ref="I217:J217"/>
    <mergeCell ref="P217:R217"/>
    <mergeCell ref="C218:D218"/>
    <mergeCell ref="I218:J218"/>
    <mergeCell ref="P218:R218"/>
    <mergeCell ref="C215:D215"/>
    <mergeCell ref="I215:J215"/>
    <mergeCell ref="P215:R215"/>
    <mergeCell ref="C216:D216"/>
    <mergeCell ref="I216:J216"/>
    <mergeCell ref="P216:R216"/>
    <mergeCell ref="C213:D213"/>
    <mergeCell ref="I213:J213"/>
    <mergeCell ref="P213:R213"/>
    <mergeCell ref="C214:D214"/>
    <mergeCell ref="I214:J214"/>
    <mergeCell ref="P214:R214"/>
    <mergeCell ref="C223:D223"/>
    <mergeCell ref="I223:J223"/>
    <mergeCell ref="P223:R223"/>
    <mergeCell ref="C224:D224"/>
    <mergeCell ref="I224:J224"/>
    <mergeCell ref="P224:R224"/>
    <mergeCell ref="C221:D221"/>
    <mergeCell ref="I221:J221"/>
    <mergeCell ref="P221:R221"/>
    <mergeCell ref="C222:D222"/>
    <mergeCell ref="I222:J222"/>
    <mergeCell ref="P222:R222"/>
    <mergeCell ref="C219:D219"/>
    <mergeCell ref="I219:J219"/>
    <mergeCell ref="P219:R219"/>
    <mergeCell ref="C220:D220"/>
    <mergeCell ref="I220:J220"/>
    <mergeCell ref="P220:R220"/>
    <mergeCell ref="C229:D229"/>
    <mergeCell ref="I229:J229"/>
    <mergeCell ref="P229:R229"/>
    <mergeCell ref="C230:D230"/>
    <mergeCell ref="I230:J230"/>
    <mergeCell ref="P230:R230"/>
    <mergeCell ref="C227:D227"/>
    <mergeCell ref="I227:J227"/>
    <mergeCell ref="P227:R227"/>
    <mergeCell ref="C228:D228"/>
    <mergeCell ref="I228:J228"/>
    <mergeCell ref="P228:R228"/>
    <mergeCell ref="C225:D225"/>
    <mergeCell ref="I225:J225"/>
    <mergeCell ref="P225:R225"/>
    <mergeCell ref="C226:D226"/>
    <mergeCell ref="I226:J226"/>
    <mergeCell ref="P226:R226"/>
    <mergeCell ref="C235:D235"/>
    <mergeCell ref="I235:J235"/>
    <mergeCell ref="P235:R235"/>
    <mergeCell ref="C236:D236"/>
    <mergeCell ref="I236:J236"/>
    <mergeCell ref="P236:R236"/>
    <mergeCell ref="C233:D233"/>
    <mergeCell ref="I233:J233"/>
    <mergeCell ref="P233:R233"/>
    <mergeCell ref="C234:D234"/>
    <mergeCell ref="I234:J234"/>
    <mergeCell ref="P234:R234"/>
    <mergeCell ref="C231:D231"/>
    <mergeCell ref="I231:J231"/>
    <mergeCell ref="P231:R231"/>
    <mergeCell ref="C232:D232"/>
    <mergeCell ref="I232:J232"/>
    <mergeCell ref="P232:R232"/>
    <mergeCell ref="C241:D241"/>
    <mergeCell ref="I241:J241"/>
    <mergeCell ref="P241:R241"/>
    <mergeCell ref="C242:D242"/>
    <mergeCell ref="I242:J242"/>
    <mergeCell ref="P242:R242"/>
    <mergeCell ref="C239:D239"/>
    <mergeCell ref="I239:J239"/>
    <mergeCell ref="P239:R239"/>
    <mergeCell ref="C240:D240"/>
    <mergeCell ref="I240:J240"/>
    <mergeCell ref="P240:R240"/>
    <mergeCell ref="C237:D237"/>
    <mergeCell ref="I237:J237"/>
    <mergeCell ref="P237:R237"/>
    <mergeCell ref="C238:D238"/>
    <mergeCell ref="I238:J238"/>
    <mergeCell ref="P238:R238"/>
    <mergeCell ref="C247:D247"/>
    <mergeCell ref="I247:J247"/>
    <mergeCell ref="P247:R247"/>
    <mergeCell ref="C248:D248"/>
    <mergeCell ref="I248:J248"/>
    <mergeCell ref="P248:R248"/>
    <mergeCell ref="C245:D245"/>
    <mergeCell ref="I245:J245"/>
    <mergeCell ref="P245:R245"/>
    <mergeCell ref="C246:D246"/>
    <mergeCell ref="I246:J246"/>
    <mergeCell ref="P246:R246"/>
    <mergeCell ref="C243:D243"/>
    <mergeCell ref="I243:J243"/>
    <mergeCell ref="P243:R243"/>
    <mergeCell ref="C244:D244"/>
    <mergeCell ref="I244:J244"/>
    <mergeCell ref="P244:R244"/>
    <mergeCell ref="C253:D253"/>
    <mergeCell ref="I253:J253"/>
    <mergeCell ref="P253:R253"/>
    <mergeCell ref="C254:D254"/>
    <mergeCell ref="I254:J254"/>
    <mergeCell ref="P254:R254"/>
    <mergeCell ref="C251:D251"/>
    <mergeCell ref="I251:J251"/>
    <mergeCell ref="P251:R251"/>
    <mergeCell ref="C252:D252"/>
    <mergeCell ref="I252:J252"/>
    <mergeCell ref="P252:R252"/>
    <mergeCell ref="C249:D249"/>
    <mergeCell ref="I249:J249"/>
    <mergeCell ref="P249:R249"/>
    <mergeCell ref="C250:D250"/>
    <mergeCell ref="I250:J250"/>
    <mergeCell ref="P250:R250"/>
    <mergeCell ref="C259:D259"/>
    <mergeCell ref="I259:J259"/>
    <mergeCell ref="P259:R259"/>
    <mergeCell ref="C260:D260"/>
    <mergeCell ref="I260:J260"/>
    <mergeCell ref="P260:R260"/>
    <mergeCell ref="C257:D257"/>
    <mergeCell ref="I257:J257"/>
    <mergeCell ref="P257:R257"/>
    <mergeCell ref="C258:D258"/>
    <mergeCell ref="I258:J258"/>
    <mergeCell ref="P258:R258"/>
    <mergeCell ref="C255:D255"/>
    <mergeCell ref="I255:J255"/>
    <mergeCell ref="P255:R255"/>
    <mergeCell ref="C256:D256"/>
    <mergeCell ref="I256:J256"/>
    <mergeCell ref="P256:R256"/>
    <mergeCell ref="C265:D265"/>
    <mergeCell ref="I265:J265"/>
    <mergeCell ref="P265:R265"/>
    <mergeCell ref="C266:D266"/>
    <mergeCell ref="I266:J266"/>
    <mergeCell ref="P266:R266"/>
    <mergeCell ref="C263:D263"/>
    <mergeCell ref="I263:J263"/>
    <mergeCell ref="P263:R263"/>
    <mergeCell ref="C264:D264"/>
    <mergeCell ref="I264:J264"/>
    <mergeCell ref="P264:R264"/>
    <mergeCell ref="C261:D261"/>
    <mergeCell ref="I261:J261"/>
    <mergeCell ref="P261:R261"/>
    <mergeCell ref="C262:D262"/>
    <mergeCell ref="I262:J262"/>
    <mergeCell ref="P262:R262"/>
    <mergeCell ref="C271:D271"/>
    <mergeCell ref="I271:J271"/>
    <mergeCell ref="P271:R271"/>
    <mergeCell ref="C272:D272"/>
    <mergeCell ref="I272:J272"/>
    <mergeCell ref="P272:R272"/>
    <mergeCell ref="C269:D269"/>
    <mergeCell ref="I269:J269"/>
    <mergeCell ref="P269:R269"/>
    <mergeCell ref="C270:D270"/>
    <mergeCell ref="I270:J270"/>
    <mergeCell ref="P270:R270"/>
    <mergeCell ref="C267:D267"/>
    <mergeCell ref="I267:J267"/>
    <mergeCell ref="P267:R267"/>
    <mergeCell ref="C268:D268"/>
    <mergeCell ref="I268:J268"/>
    <mergeCell ref="P268:R268"/>
    <mergeCell ref="C277:D277"/>
    <mergeCell ref="I277:J277"/>
    <mergeCell ref="P277:R277"/>
    <mergeCell ref="C278:D278"/>
    <mergeCell ref="I278:J278"/>
    <mergeCell ref="P278:R278"/>
    <mergeCell ref="C275:D275"/>
    <mergeCell ref="I275:J275"/>
    <mergeCell ref="P275:R275"/>
    <mergeCell ref="C276:D276"/>
    <mergeCell ref="I276:J276"/>
    <mergeCell ref="P276:R276"/>
    <mergeCell ref="C273:D273"/>
    <mergeCell ref="I273:J273"/>
    <mergeCell ref="P273:R273"/>
    <mergeCell ref="C274:D274"/>
    <mergeCell ref="I274:J274"/>
    <mergeCell ref="P274:R274"/>
    <mergeCell ref="C283:D283"/>
    <mergeCell ref="I283:J283"/>
    <mergeCell ref="P283:R283"/>
    <mergeCell ref="C284:D284"/>
    <mergeCell ref="I284:J284"/>
    <mergeCell ref="P284:R284"/>
    <mergeCell ref="C281:D281"/>
    <mergeCell ref="I281:J281"/>
    <mergeCell ref="P281:R281"/>
    <mergeCell ref="C282:D282"/>
    <mergeCell ref="I282:J282"/>
    <mergeCell ref="P282:R282"/>
    <mergeCell ref="C279:D279"/>
    <mergeCell ref="I279:J279"/>
    <mergeCell ref="P279:R279"/>
    <mergeCell ref="C280:D280"/>
    <mergeCell ref="I280:J280"/>
    <mergeCell ref="P280:R280"/>
    <mergeCell ref="C289:D289"/>
    <mergeCell ref="I289:J289"/>
    <mergeCell ref="P289:R289"/>
    <mergeCell ref="C290:D290"/>
    <mergeCell ref="I290:J290"/>
    <mergeCell ref="P290:R290"/>
    <mergeCell ref="C287:D287"/>
    <mergeCell ref="I287:J287"/>
    <mergeCell ref="P287:R287"/>
    <mergeCell ref="C288:D288"/>
    <mergeCell ref="I288:J288"/>
    <mergeCell ref="P288:R288"/>
    <mergeCell ref="C285:D285"/>
    <mergeCell ref="I285:J285"/>
    <mergeCell ref="P285:R285"/>
    <mergeCell ref="C286:D286"/>
    <mergeCell ref="I286:J286"/>
    <mergeCell ref="P286:R286"/>
    <mergeCell ref="C295:D295"/>
    <mergeCell ref="I295:J295"/>
    <mergeCell ref="P295:R295"/>
    <mergeCell ref="C296:D296"/>
    <mergeCell ref="I296:J296"/>
    <mergeCell ref="P296:R296"/>
    <mergeCell ref="C293:D293"/>
    <mergeCell ref="I293:J293"/>
    <mergeCell ref="P293:R293"/>
    <mergeCell ref="C294:D294"/>
    <mergeCell ref="I294:J294"/>
    <mergeCell ref="P294:R294"/>
    <mergeCell ref="C291:D291"/>
    <mergeCell ref="I291:J291"/>
    <mergeCell ref="P291:R291"/>
    <mergeCell ref="C292:D292"/>
    <mergeCell ref="I292:J292"/>
    <mergeCell ref="P292:R292"/>
    <mergeCell ref="C301:D301"/>
    <mergeCell ref="I301:J301"/>
    <mergeCell ref="P301:R301"/>
    <mergeCell ref="C302:D302"/>
    <mergeCell ref="I302:J302"/>
    <mergeCell ref="P302:R302"/>
    <mergeCell ref="C299:D299"/>
    <mergeCell ref="I299:J299"/>
    <mergeCell ref="P299:R299"/>
    <mergeCell ref="C300:D300"/>
    <mergeCell ref="I300:J300"/>
    <mergeCell ref="P300:R300"/>
    <mergeCell ref="C297:D297"/>
    <mergeCell ref="I297:J297"/>
    <mergeCell ref="P297:R297"/>
    <mergeCell ref="C298:D298"/>
    <mergeCell ref="I298:J298"/>
    <mergeCell ref="P298:R298"/>
    <mergeCell ref="C307:D307"/>
    <mergeCell ref="I307:J307"/>
    <mergeCell ref="P307:R307"/>
    <mergeCell ref="C308:D308"/>
    <mergeCell ref="I308:J308"/>
    <mergeCell ref="P308:R308"/>
    <mergeCell ref="C305:D305"/>
    <mergeCell ref="I305:J305"/>
    <mergeCell ref="P305:R305"/>
    <mergeCell ref="C306:D306"/>
    <mergeCell ref="I306:J306"/>
    <mergeCell ref="P306:R306"/>
    <mergeCell ref="C303:D303"/>
    <mergeCell ref="I303:J303"/>
    <mergeCell ref="P303:R303"/>
    <mergeCell ref="C304:D304"/>
    <mergeCell ref="I304:J304"/>
    <mergeCell ref="P304:R304"/>
    <mergeCell ref="C313:D313"/>
    <mergeCell ref="I313:J313"/>
    <mergeCell ref="P313:R313"/>
    <mergeCell ref="C314:D314"/>
    <mergeCell ref="I314:J314"/>
    <mergeCell ref="P314:R314"/>
    <mergeCell ref="C311:D311"/>
    <mergeCell ref="I311:J311"/>
    <mergeCell ref="P311:R311"/>
    <mergeCell ref="C312:D312"/>
    <mergeCell ref="I312:J312"/>
    <mergeCell ref="P312:R312"/>
    <mergeCell ref="C309:D309"/>
    <mergeCell ref="I309:J309"/>
    <mergeCell ref="P309:R309"/>
    <mergeCell ref="C310:D310"/>
    <mergeCell ref="I310:J310"/>
    <mergeCell ref="P310:R310"/>
    <mergeCell ref="C319:D319"/>
    <mergeCell ref="I319:J319"/>
    <mergeCell ref="P319:R319"/>
    <mergeCell ref="C320:D320"/>
    <mergeCell ref="I320:J320"/>
    <mergeCell ref="P320:R320"/>
    <mergeCell ref="C317:D317"/>
    <mergeCell ref="I317:J317"/>
    <mergeCell ref="P317:R317"/>
    <mergeCell ref="C318:D318"/>
    <mergeCell ref="I318:J318"/>
    <mergeCell ref="P318:R318"/>
    <mergeCell ref="C315:D315"/>
    <mergeCell ref="I315:J315"/>
    <mergeCell ref="P315:R315"/>
    <mergeCell ref="C316:D316"/>
    <mergeCell ref="I316:J316"/>
    <mergeCell ref="P316:R316"/>
    <mergeCell ref="C325:D325"/>
    <mergeCell ref="I325:J325"/>
    <mergeCell ref="P325:R325"/>
    <mergeCell ref="C326:D326"/>
    <mergeCell ref="I326:J326"/>
    <mergeCell ref="P326:R326"/>
    <mergeCell ref="C323:D323"/>
    <mergeCell ref="I323:J323"/>
    <mergeCell ref="P323:R323"/>
    <mergeCell ref="C324:D324"/>
    <mergeCell ref="I324:J324"/>
    <mergeCell ref="P324:R324"/>
    <mergeCell ref="C321:D321"/>
    <mergeCell ref="I321:J321"/>
    <mergeCell ref="P321:R321"/>
    <mergeCell ref="C322:D322"/>
    <mergeCell ref="I322:J322"/>
    <mergeCell ref="P322:R322"/>
    <mergeCell ref="C331:D331"/>
    <mergeCell ref="I331:J331"/>
    <mergeCell ref="P331:R331"/>
    <mergeCell ref="C332:D332"/>
    <mergeCell ref="I332:J332"/>
    <mergeCell ref="P332:R332"/>
    <mergeCell ref="C329:D329"/>
    <mergeCell ref="I329:J329"/>
    <mergeCell ref="P329:R329"/>
    <mergeCell ref="C330:D330"/>
    <mergeCell ref="I330:J330"/>
    <mergeCell ref="P330:R330"/>
    <mergeCell ref="C327:D327"/>
    <mergeCell ref="I327:J327"/>
    <mergeCell ref="P327:R327"/>
    <mergeCell ref="C328:D328"/>
    <mergeCell ref="I328:J328"/>
    <mergeCell ref="P328:R328"/>
    <mergeCell ref="C337:D337"/>
    <mergeCell ref="I337:J337"/>
    <mergeCell ref="P337:R337"/>
    <mergeCell ref="C338:D338"/>
    <mergeCell ref="I338:J338"/>
    <mergeCell ref="P338:R338"/>
    <mergeCell ref="C335:D335"/>
    <mergeCell ref="I335:J335"/>
    <mergeCell ref="P335:R335"/>
    <mergeCell ref="C336:D336"/>
    <mergeCell ref="I336:J336"/>
    <mergeCell ref="P336:R336"/>
    <mergeCell ref="C333:D333"/>
    <mergeCell ref="I333:J333"/>
    <mergeCell ref="P333:R333"/>
    <mergeCell ref="C334:D334"/>
    <mergeCell ref="I334:J334"/>
    <mergeCell ref="P334:R334"/>
    <mergeCell ref="C343:D343"/>
    <mergeCell ref="I343:J343"/>
    <mergeCell ref="P343:R343"/>
    <mergeCell ref="C344:D344"/>
    <mergeCell ref="I344:J344"/>
    <mergeCell ref="P344:R344"/>
    <mergeCell ref="C341:D341"/>
    <mergeCell ref="I341:J341"/>
    <mergeCell ref="P341:R341"/>
    <mergeCell ref="C342:D342"/>
    <mergeCell ref="I342:J342"/>
    <mergeCell ref="P342:R342"/>
    <mergeCell ref="C339:D339"/>
    <mergeCell ref="I339:J339"/>
    <mergeCell ref="P339:R339"/>
    <mergeCell ref="C340:D340"/>
    <mergeCell ref="I340:J340"/>
    <mergeCell ref="P340:R340"/>
    <mergeCell ref="C349:D349"/>
    <mergeCell ref="I349:J349"/>
    <mergeCell ref="P349:R349"/>
    <mergeCell ref="C350:D350"/>
    <mergeCell ref="I350:J350"/>
    <mergeCell ref="P350:R350"/>
    <mergeCell ref="C347:D347"/>
    <mergeCell ref="I347:J347"/>
    <mergeCell ref="P347:R347"/>
    <mergeCell ref="C348:D348"/>
    <mergeCell ref="I348:J348"/>
    <mergeCell ref="P348:R348"/>
    <mergeCell ref="C345:D345"/>
    <mergeCell ref="I345:J345"/>
    <mergeCell ref="P345:R345"/>
    <mergeCell ref="C346:D346"/>
    <mergeCell ref="I346:J346"/>
    <mergeCell ref="P346:R346"/>
    <mergeCell ref="C355:D355"/>
    <mergeCell ref="I355:J355"/>
    <mergeCell ref="P355:R355"/>
    <mergeCell ref="C356:D356"/>
    <mergeCell ref="I356:J356"/>
    <mergeCell ref="P356:R356"/>
    <mergeCell ref="C353:D353"/>
    <mergeCell ref="I353:J353"/>
    <mergeCell ref="P353:R353"/>
    <mergeCell ref="C354:D354"/>
    <mergeCell ref="I354:J354"/>
    <mergeCell ref="P354:R354"/>
    <mergeCell ref="C351:D351"/>
    <mergeCell ref="I351:J351"/>
    <mergeCell ref="P351:R351"/>
    <mergeCell ref="C352:D352"/>
    <mergeCell ref="I352:J352"/>
    <mergeCell ref="P352:R352"/>
    <mergeCell ref="C361:D361"/>
    <mergeCell ref="I361:J361"/>
    <mergeCell ref="P361:R361"/>
    <mergeCell ref="C362:D362"/>
    <mergeCell ref="I362:J362"/>
    <mergeCell ref="P362:R362"/>
    <mergeCell ref="C359:D359"/>
    <mergeCell ref="I359:J359"/>
    <mergeCell ref="P359:R359"/>
    <mergeCell ref="C360:D360"/>
    <mergeCell ref="I360:J360"/>
    <mergeCell ref="P360:R360"/>
    <mergeCell ref="C357:D357"/>
    <mergeCell ref="I357:J357"/>
    <mergeCell ref="P357:R357"/>
    <mergeCell ref="C358:D358"/>
    <mergeCell ref="I358:J358"/>
    <mergeCell ref="P358:R358"/>
    <mergeCell ref="C367:D367"/>
    <mergeCell ref="I367:J367"/>
    <mergeCell ref="P367:R367"/>
    <mergeCell ref="C368:D368"/>
    <mergeCell ref="I368:J368"/>
    <mergeCell ref="P368:R368"/>
    <mergeCell ref="C365:D365"/>
    <mergeCell ref="I365:J365"/>
    <mergeCell ref="P365:R365"/>
    <mergeCell ref="C366:D366"/>
    <mergeCell ref="I366:J366"/>
    <mergeCell ref="P366:R366"/>
    <mergeCell ref="C363:D363"/>
    <mergeCell ref="I363:J363"/>
    <mergeCell ref="P363:R363"/>
    <mergeCell ref="C364:D364"/>
    <mergeCell ref="I364:J364"/>
    <mergeCell ref="P364:R364"/>
    <mergeCell ref="C373:D373"/>
    <mergeCell ref="I373:J373"/>
    <mergeCell ref="P373:R373"/>
    <mergeCell ref="C374:D374"/>
    <mergeCell ref="I374:J374"/>
    <mergeCell ref="P374:R374"/>
    <mergeCell ref="C371:D371"/>
    <mergeCell ref="I371:J371"/>
    <mergeCell ref="P371:R371"/>
    <mergeCell ref="C372:D372"/>
    <mergeCell ref="I372:J372"/>
    <mergeCell ref="P372:R372"/>
    <mergeCell ref="C369:D369"/>
    <mergeCell ref="I369:J369"/>
    <mergeCell ref="P369:R369"/>
    <mergeCell ref="C370:D370"/>
    <mergeCell ref="I370:J370"/>
    <mergeCell ref="P370:R370"/>
    <mergeCell ref="C379:D379"/>
    <mergeCell ref="I379:J379"/>
    <mergeCell ref="P379:R379"/>
    <mergeCell ref="C380:D380"/>
    <mergeCell ref="I380:J380"/>
    <mergeCell ref="P380:R380"/>
    <mergeCell ref="C377:D377"/>
    <mergeCell ref="I377:J377"/>
    <mergeCell ref="P377:R377"/>
    <mergeCell ref="C378:D378"/>
    <mergeCell ref="I378:J378"/>
    <mergeCell ref="P378:R378"/>
    <mergeCell ref="C375:D375"/>
    <mergeCell ref="I375:J375"/>
    <mergeCell ref="P375:R375"/>
    <mergeCell ref="C376:D376"/>
    <mergeCell ref="I376:J376"/>
    <mergeCell ref="P376:R376"/>
    <mergeCell ref="C385:D385"/>
    <mergeCell ref="I385:J385"/>
    <mergeCell ref="P385:R385"/>
    <mergeCell ref="C386:D386"/>
    <mergeCell ref="I386:J386"/>
    <mergeCell ref="P386:R386"/>
    <mergeCell ref="C383:D383"/>
    <mergeCell ref="I383:J383"/>
    <mergeCell ref="P383:R383"/>
    <mergeCell ref="C384:D384"/>
    <mergeCell ref="I384:J384"/>
    <mergeCell ref="P384:R384"/>
    <mergeCell ref="C381:D381"/>
    <mergeCell ref="I381:J381"/>
    <mergeCell ref="P381:R381"/>
    <mergeCell ref="C382:D382"/>
    <mergeCell ref="I382:J382"/>
    <mergeCell ref="P382:R382"/>
    <mergeCell ref="C391:D391"/>
    <mergeCell ref="I391:J391"/>
    <mergeCell ref="P391:R391"/>
    <mergeCell ref="C392:D392"/>
    <mergeCell ref="I392:J392"/>
    <mergeCell ref="P392:R392"/>
    <mergeCell ref="C389:D389"/>
    <mergeCell ref="I389:J389"/>
    <mergeCell ref="P389:R389"/>
    <mergeCell ref="C390:D390"/>
    <mergeCell ref="I390:J390"/>
    <mergeCell ref="P390:R390"/>
    <mergeCell ref="C387:D387"/>
    <mergeCell ref="I387:J387"/>
    <mergeCell ref="P387:R387"/>
    <mergeCell ref="C388:D388"/>
    <mergeCell ref="I388:J388"/>
    <mergeCell ref="P388:R388"/>
    <mergeCell ref="C397:D397"/>
    <mergeCell ref="I397:J397"/>
    <mergeCell ref="P397:R397"/>
    <mergeCell ref="C398:D398"/>
    <mergeCell ref="I398:J398"/>
    <mergeCell ref="P398:R398"/>
    <mergeCell ref="C395:D395"/>
    <mergeCell ref="I395:J395"/>
    <mergeCell ref="P395:R395"/>
    <mergeCell ref="C396:D396"/>
    <mergeCell ref="I396:J396"/>
    <mergeCell ref="P396:R396"/>
    <mergeCell ref="C393:D393"/>
    <mergeCell ref="I393:J393"/>
    <mergeCell ref="P393:R393"/>
    <mergeCell ref="C394:D394"/>
    <mergeCell ref="I394:J394"/>
    <mergeCell ref="P394:R394"/>
    <mergeCell ref="C403:D403"/>
    <mergeCell ref="I403:J403"/>
    <mergeCell ref="P403:R403"/>
    <mergeCell ref="C404:D404"/>
    <mergeCell ref="I404:J404"/>
    <mergeCell ref="P404:R404"/>
    <mergeCell ref="C401:D401"/>
    <mergeCell ref="I401:J401"/>
    <mergeCell ref="P401:R401"/>
    <mergeCell ref="C402:D402"/>
    <mergeCell ref="I402:J402"/>
    <mergeCell ref="P402:R402"/>
    <mergeCell ref="C399:D399"/>
    <mergeCell ref="I399:J399"/>
    <mergeCell ref="P399:R399"/>
    <mergeCell ref="C400:D400"/>
    <mergeCell ref="I400:J400"/>
    <mergeCell ref="P400:R400"/>
    <mergeCell ref="C409:D409"/>
    <mergeCell ref="I409:J409"/>
    <mergeCell ref="P409:R409"/>
    <mergeCell ref="C410:D410"/>
    <mergeCell ref="I410:J410"/>
    <mergeCell ref="P410:R410"/>
    <mergeCell ref="C407:D407"/>
    <mergeCell ref="I407:J407"/>
    <mergeCell ref="P407:R407"/>
    <mergeCell ref="C408:D408"/>
    <mergeCell ref="I408:J408"/>
    <mergeCell ref="P408:R408"/>
    <mergeCell ref="C405:D405"/>
    <mergeCell ref="I405:J405"/>
    <mergeCell ref="P405:R405"/>
    <mergeCell ref="C406:D406"/>
    <mergeCell ref="I406:J406"/>
    <mergeCell ref="P406:R406"/>
    <mergeCell ref="C415:D415"/>
    <mergeCell ref="I415:J415"/>
    <mergeCell ref="P415:R415"/>
    <mergeCell ref="C416:D416"/>
    <mergeCell ref="I416:J416"/>
    <mergeCell ref="P416:R416"/>
    <mergeCell ref="C413:D413"/>
    <mergeCell ref="I413:J413"/>
    <mergeCell ref="P413:R413"/>
    <mergeCell ref="C414:D414"/>
    <mergeCell ref="I414:J414"/>
    <mergeCell ref="P414:R414"/>
    <mergeCell ref="C411:D411"/>
    <mergeCell ref="I411:J411"/>
    <mergeCell ref="P411:R411"/>
    <mergeCell ref="C412:D412"/>
    <mergeCell ref="I412:J412"/>
    <mergeCell ref="P412:R412"/>
    <mergeCell ref="C421:D421"/>
    <mergeCell ref="I421:J421"/>
    <mergeCell ref="P421:R421"/>
    <mergeCell ref="C422:D422"/>
    <mergeCell ref="I422:J422"/>
    <mergeCell ref="P422:R422"/>
    <mergeCell ref="C419:D419"/>
    <mergeCell ref="I419:J419"/>
    <mergeCell ref="P419:R419"/>
    <mergeCell ref="C420:D420"/>
    <mergeCell ref="I420:J420"/>
    <mergeCell ref="P420:R420"/>
    <mergeCell ref="C417:D417"/>
    <mergeCell ref="I417:J417"/>
    <mergeCell ref="P417:R417"/>
    <mergeCell ref="C418:D418"/>
    <mergeCell ref="I418:J418"/>
    <mergeCell ref="P418:R418"/>
    <mergeCell ref="C427:D427"/>
    <mergeCell ref="I427:J427"/>
    <mergeCell ref="P427:R427"/>
    <mergeCell ref="C428:D428"/>
    <mergeCell ref="I428:J428"/>
    <mergeCell ref="P428:R428"/>
    <mergeCell ref="C425:D425"/>
    <mergeCell ref="I425:J425"/>
    <mergeCell ref="P425:R425"/>
    <mergeCell ref="C426:D426"/>
    <mergeCell ref="I426:J426"/>
    <mergeCell ref="P426:R426"/>
    <mergeCell ref="C423:D423"/>
    <mergeCell ref="I423:J423"/>
    <mergeCell ref="P423:R423"/>
    <mergeCell ref="C424:D424"/>
    <mergeCell ref="I424:J424"/>
    <mergeCell ref="P424:R424"/>
    <mergeCell ref="C433:D433"/>
    <mergeCell ref="I433:J433"/>
    <mergeCell ref="P433:R433"/>
    <mergeCell ref="C434:D434"/>
    <mergeCell ref="I434:J434"/>
    <mergeCell ref="P434:R434"/>
    <mergeCell ref="C431:D431"/>
    <mergeCell ref="I431:J431"/>
    <mergeCell ref="P431:R431"/>
    <mergeCell ref="C432:D432"/>
    <mergeCell ref="I432:J432"/>
    <mergeCell ref="P432:R432"/>
    <mergeCell ref="C429:D429"/>
    <mergeCell ref="I429:J429"/>
    <mergeCell ref="P429:R429"/>
    <mergeCell ref="C430:D430"/>
    <mergeCell ref="I430:J430"/>
    <mergeCell ref="P430:R430"/>
    <mergeCell ref="C439:D439"/>
    <mergeCell ref="I439:J439"/>
    <mergeCell ref="P439:R439"/>
    <mergeCell ref="C440:D440"/>
    <mergeCell ref="I440:J440"/>
    <mergeCell ref="P440:R440"/>
    <mergeCell ref="C437:D437"/>
    <mergeCell ref="I437:J437"/>
    <mergeCell ref="P437:R437"/>
    <mergeCell ref="C438:D438"/>
    <mergeCell ref="I438:J438"/>
    <mergeCell ref="P438:R438"/>
    <mergeCell ref="C435:D435"/>
    <mergeCell ref="I435:J435"/>
    <mergeCell ref="P435:R435"/>
    <mergeCell ref="C436:D436"/>
    <mergeCell ref="I436:J436"/>
    <mergeCell ref="P436:R436"/>
    <mergeCell ref="C445:D445"/>
    <mergeCell ref="I445:J445"/>
    <mergeCell ref="P445:R445"/>
    <mergeCell ref="C446:D446"/>
    <mergeCell ref="I446:J446"/>
    <mergeCell ref="P446:R446"/>
    <mergeCell ref="C443:D443"/>
    <mergeCell ref="I443:J443"/>
    <mergeCell ref="P443:R443"/>
    <mergeCell ref="C444:D444"/>
    <mergeCell ref="I444:J444"/>
    <mergeCell ref="P444:R444"/>
    <mergeCell ref="C441:D441"/>
    <mergeCell ref="I441:J441"/>
    <mergeCell ref="P441:R441"/>
    <mergeCell ref="C442:D442"/>
    <mergeCell ref="I442:J442"/>
    <mergeCell ref="P442:R442"/>
    <mergeCell ref="C451:D451"/>
    <mergeCell ref="I451:J451"/>
    <mergeCell ref="P451:R451"/>
    <mergeCell ref="C452:D452"/>
    <mergeCell ref="I452:J452"/>
    <mergeCell ref="P452:R452"/>
    <mergeCell ref="C449:D449"/>
    <mergeCell ref="I449:J449"/>
    <mergeCell ref="P449:R449"/>
    <mergeCell ref="C450:D450"/>
    <mergeCell ref="I450:J450"/>
    <mergeCell ref="P450:R450"/>
    <mergeCell ref="C447:D447"/>
    <mergeCell ref="I447:J447"/>
    <mergeCell ref="P447:R447"/>
    <mergeCell ref="C448:D448"/>
    <mergeCell ref="I448:J448"/>
    <mergeCell ref="P448:R448"/>
    <mergeCell ref="C457:D457"/>
    <mergeCell ref="I457:J457"/>
    <mergeCell ref="P457:R457"/>
    <mergeCell ref="C458:D458"/>
    <mergeCell ref="I458:J458"/>
    <mergeCell ref="P458:R458"/>
    <mergeCell ref="C455:D455"/>
    <mergeCell ref="I455:J455"/>
    <mergeCell ref="P455:R455"/>
    <mergeCell ref="C456:D456"/>
    <mergeCell ref="I456:J456"/>
    <mergeCell ref="P456:R456"/>
    <mergeCell ref="C453:D453"/>
    <mergeCell ref="I453:J453"/>
    <mergeCell ref="P453:R453"/>
    <mergeCell ref="C454:D454"/>
    <mergeCell ref="I454:J454"/>
    <mergeCell ref="P454:R454"/>
    <mergeCell ref="C463:D463"/>
    <mergeCell ref="I463:J463"/>
    <mergeCell ref="P463:R463"/>
    <mergeCell ref="C464:D464"/>
    <mergeCell ref="I464:J464"/>
    <mergeCell ref="P464:R464"/>
    <mergeCell ref="C461:D461"/>
    <mergeCell ref="I461:J461"/>
    <mergeCell ref="P461:R461"/>
    <mergeCell ref="C462:D462"/>
    <mergeCell ref="I462:J462"/>
    <mergeCell ref="P462:R462"/>
    <mergeCell ref="C459:D459"/>
    <mergeCell ref="I459:J459"/>
    <mergeCell ref="P459:R459"/>
    <mergeCell ref="C460:D460"/>
    <mergeCell ref="I460:J460"/>
    <mergeCell ref="P460:R460"/>
    <mergeCell ref="C469:D469"/>
    <mergeCell ref="I469:J469"/>
    <mergeCell ref="P469:R469"/>
    <mergeCell ref="C470:D470"/>
    <mergeCell ref="I470:J470"/>
    <mergeCell ref="P470:R470"/>
    <mergeCell ref="C467:D467"/>
    <mergeCell ref="I467:J467"/>
    <mergeCell ref="P467:R467"/>
    <mergeCell ref="C468:D468"/>
    <mergeCell ref="I468:J468"/>
    <mergeCell ref="P468:R468"/>
    <mergeCell ref="C465:D465"/>
    <mergeCell ref="I465:J465"/>
    <mergeCell ref="P465:R465"/>
    <mergeCell ref="C466:D466"/>
    <mergeCell ref="I466:J466"/>
    <mergeCell ref="P466:R466"/>
    <mergeCell ref="C475:D475"/>
    <mergeCell ref="I475:J475"/>
    <mergeCell ref="P475:R475"/>
    <mergeCell ref="C476:D476"/>
    <mergeCell ref="I476:J476"/>
    <mergeCell ref="P476:R476"/>
    <mergeCell ref="C473:D473"/>
    <mergeCell ref="I473:J473"/>
    <mergeCell ref="P473:R473"/>
    <mergeCell ref="C474:D474"/>
    <mergeCell ref="I474:J474"/>
    <mergeCell ref="P474:R474"/>
    <mergeCell ref="C471:D471"/>
    <mergeCell ref="I471:J471"/>
    <mergeCell ref="P471:R471"/>
    <mergeCell ref="C472:D472"/>
    <mergeCell ref="I472:J472"/>
    <mergeCell ref="P472:R472"/>
    <mergeCell ref="C481:D481"/>
    <mergeCell ref="I481:J481"/>
    <mergeCell ref="P481:R481"/>
    <mergeCell ref="C482:D482"/>
    <mergeCell ref="I482:J482"/>
    <mergeCell ref="P482:R482"/>
    <mergeCell ref="C479:D479"/>
    <mergeCell ref="I479:J479"/>
    <mergeCell ref="P479:R479"/>
    <mergeCell ref="C480:D480"/>
    <mergeCell ref="I480:J480"/>
    <mergeCell ref="P480:R480"/>
    <mergeCell ref="C477:D477"/>
    <mergeCell ref="I477:J477"/>
    <mergeCell ref="P477:R477"/>
    <mergeCell ref="C478:D478"/>
    <mergeCell ref="I478:J478"/>
    <mergeCell ref="P478:R478"/>
    <mergeCell ref="C487:D487"/>
    <mergeCell ref="I487:J487"/>
    <mergeCell ref="P487:R487"/>
    <mergeCell ref="C488:D488"/>
    <mergeCell ref="I488:J488"/>
    <mergeCell ref="P488:R488"/>
    <mergeCell ref="C485:D485"/>
    <mergeCell ref="I485:J485"/>
    <mergeCell ref="P485:R485"/>
    <mergeCell ref="C486:D486"/>
    <mergeCell ref="I486:J486"/>
    <mergeCell ref="P486:R486"/>
    <mergeCell ref="C483:D483"/>
    <mergeCell ref="I483:J483"/>
    <mergeCell ref="P483:R483"/>
    <mergeCell ref="C484:D484"/>
    <mergeCell ref="I484:J484"/>
    <mergeCell ref="P484:R484"/>
    <mergeCell ref="C493:D493"/>
    <mergeCell ref="I493:J493"/>
    <mergeCell ref="P493:R493"/>
    <mergeCell ref="C494:D494"/>
    <mergeCell ref="I494:J494"/>
    <mergeCell ref="P494:R494"/>
    <mergeCell ref="C491:D491"/>
    <mergeCell ref="I491:J491"/>
    <mergeCell ref="P491:R491"/>
    <mergeCell ref="C492:D492"/>
    <mergeCell ref="I492:J492"/>
    <mergeCell ref="P492:R492"/>
    <mergeCell ref="C489:D489"/>
    <mergeCell ref="I489:J489"/>
    <mergeCell ref="P489:R489"/>
    <mergeCell ref="C490:D490"/>
    <mergeCell ref="I490:J490"/>
    <mergeCell ref="P490:R490"/>
    <mergeCell ref="C499:D499"/>
    <mergeCell ref="I499:J499"/>
    <mergeCell ref="P499:R499"/>
    <mergeCell ref="C500:D500"/>
    <mergeCell ref="I500:J500"/>
    <mergeCell ref="P500:R500"/>
    <mergeCell ref="C497:D497"/>
    <mergeCell ref="I497:J497"/>
    <mergeCell ref="P497:R497"/>
    <mergeCell ref="C498:D498"/>
    <mergeCell ref="I498:J498"/>
    <mergeCell ref="P498:R498"/>
    <mergeCell ref="C495:D495"/>
    <mergeCell ref="I495:J495"/>
    <mergeCell ref="P495:R495"/>
    <mergeCell ref="C496:D496"/>
    <mergeCell ref="I496:J496"/>
    <mergeCell ref="P496:R496"/>
  </mergeCells>
  <dataValidations count="2">
    <dataValidation type="list" allowBlank="1" showInputMessage="1" showErrorMessage="1" sqref="P10:R500">
      <formula1>Status</formula1>
    </dataValidation>
    <dataValidation type="list" allowBlank="1" showInputMessage="1" showErrorMessage="1" sqref="D5">
      <formula1>Centros_SAP</formula1>
    </dataValidation>
  </dataValidations>
  <printOptions horizontalCentered="1"/>
  <pageMargins left="0.19685039370078741" right="0.19685039370078741" top="0.35433070866141736" bottom="0.35433070866141736" header="0.31496062992125984" footer="0.31496062992125984"/>
  <pageSetup paperSize="9" scale="66" orientation="landscape" r:id="rId1"/>
  <ignoredErrors>
    <ignoredError sqref="B10:G10 J10:K10 B11:G11 K11 B12:G12 K12 B20:G20 K20 K13 B13:G13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2F84D22D-3DB8-44BD-9814-2319852DEA1C}">
            <xm:f>NOT(ISNA(VLOOKUP(I10,Materiais_COMPEL!B:B,1,0)))</xm:f>
            <x14:dxf>
              <fill>
                <patternFill>
                  <bgColor rgb="FFD9EBCD"/>
                </patternFill>
              </fill>
            </x14:dxf>
          </x14:cfRule>
          <xm:sqref>I10:J22</xm:sqref>
        </x14:conditionalFormatting>
        <x14:conditionalFormatting xmlns:xm="http://schemas.microsoft.com/office/excel/2006/main">
          <x14:cfRule type="expression" priority="1" id="{1F0C831D-15E8-4EF4-9060-CCF0E8E1AE37}">
            <xm:f>NOT(ISNA(VLOOKUP(I23,Materiais_COMPEL!B:B,1,0)))</xm:f>
            <x14:dxf>
              <fill>
                <patternFill>
                  <bgColor rgb="FFD9EBCD"/>
                </patternFill>
              </fill>
            </x14:dxf>
          </x14:cfRule>
          <xm:sqref>I23:J500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C6726"/>
  <sheetViews>
    <sheetView topLeftCell="A1812" workbookViewId="0">
      <selection activeCell="C1836" sqref="C1836"/>
    </sheetView>
  </sheetViews>
  <sheetFormatPr defaultRowHeight="15" x14ac:dyDescent="0.25"/>
  <cols>
    <col min="1" max="1" width="9" bestFit="1" customWidth="1"/>
    <col min="2" max="2" width="32.5703125" style="4" bestFit="1" customWidth="1"/>
    <col min="3" max="3" width="5" customWidth="1"/>
  </cols>
  <sheetData>
    <row r="1" spans="1:3" x14ac:dyDescent="0.25">
      <c r="A1" s="7" t="s">
        <v>15</v>
      </c>
      <c r="B1" s="7" t="s">
        <v>25</v>
      </c>
      <c r="C1" s="7" t="s">
        <v>17</v>
      </c>
    </row>
    <row r="2" spans="1:3" x14ac:dyDescent="0.25">
      <c r="A2" s="8">
        <v>4514109</v>
      </c>
      <c r="B2" s="9" t="s">
        <v>400</v>
      </c>
      <c r="C2" s="8" t="s">
        <v>27</v>
      </c>
    </row>
    <row r="3" spans="1:3" x14ac:dyDescent="0.25">
      <c r="A3" s="8">
        <v>4543640</v>
      </c>
      <c r="B3" s="9" t="s">
        <v>401</v>
      </c>
      <c r="C3" s="8" t="s">
        <v>29</v>
      </c>
    </row>
    <row r="4" spans="1:3" x14ac:dyDescent="0.25">
      <c r="A4" s="8">
        <v>4544521</v>
      </c>
      <c r="B4" s="9" t="s">
        <v>402</v>
      </c>
      <c r="C4" s="8" t="s">
        <v>26</v>
      </c>
    </row>
    <row r="5" spans="1:3" x14ac:dyDescent="0.25">
      <c r="A5" s="8">
        <v>4544527</v>
      </c>
      <c r="B5" s="9" t="s">
        <v>403</v>
      </c>
      <c r="C5" s="8" t="s">
        <v>28</v>
      </c>
    </row>
    <row r="6" spans="1:3" x14ac:dyDescent="0.25">
      <c r="A6" s="8">
        <v>4544530</v>
      </c>
      <c r="B6" s="9" t="s">
        <v>404</v>
      </c>
      <c r="C6" s="8" t="s">
        <v>28</v>
      </c>
    </row>
    <row r="7" spans="1:3" x14ac:dyDescent="0.25">
      <c r="A7" s="8">
        <v>4544532</v>
      </c>
      <c r="B7" s="9" t="s">
        <v>405</v>
      </c>
      <c r="C7" s="8" t="s">
        <v>28</v>
      </c>
    </row>
    <row r="8" spans="1:3" x14ac:dyDescent="0.25">
      <c r="A8" s="8">
        <v>4544533</v>
      </c>
      <c r="B8" s="9" t="s">
        <v>406</v>
      </c>
      <c r="C8" s="8" t="s">
        <v>26</v>
      </c>
    </row>
    <row r="9" spans="1:3" x14ac:dyDescent="0.25">
      <c r="A9" s="8">
        <v>4544534</v>
      </c>
      <c r="B9" s="9" t="s">
        <v>407</v>
      </c>
      <c r="C9" s="8" t="s">
        <v>28</v>
      </c>
    </row>
    <row r="10" spans="1:3" x14ac:dyDescent="0.25">
      <c r="A10" s="8">
        <v>4544535</v>
      </c>
      <c r="B10" s="9" t="s">
        <v>408</v>
      </c>
      <c r="C10" s="8" t="s">
        <v>26</v>
      </c>
    </row>
    <row r="11" spans="1:3" x14ac:dyDescent="0.25">
      <c r="A11" s="8">
        <v>4544542</v>
      </c>
      <c r="B11" s="9" t="s">
        <v>409</v>
      </c>
      <c r="C11" s="8" t="s">
        <v>26</v>
      </c>
    </row>
    <row r="12" spans="1:3" x14ac:dyDescent="0.25">
      <c r="A12" s="8">
        <v>4544547</v>
      </c>
      <c r="B12" s="9" t="s">
        <v>410</v>
      </c>
      <c r="C12" s="8" t="s">
        <v>26</v>
      </c>
    </row>
    <row r="13" spans="1:3" x14ac:dyDescent="0.25">
      <c r="A13" s="8">
        <v>4544556</v>
      </c>
      <c r="B13" s="9" t="s">
        <v>411</v>
      </c>
      <c r="C13" s="8" t="s">
        <v>28</v>
      </c>
    </row>
    <row r="14" spans="1:3" x14ac:dyDescent="0.25">
      <c r="A14" s="8">
        <v>4544557</v>
      </c>
      <c r="B14" s="9" t="s">
        <v>412</v>
      </c>
      <c r="C14" s="8" t="s">
        <v>28</v>
      </c>
    </row>
    <row r="15" spans="1:3" x14ac:dyDescent="0.25">
      <c r="A15" s="8">
        <v>4544558</v>
      </c>
      <c r="B15" s="9" t="s">
        <v>413</v>
      </c>
      <c r="C15" s="8" t="s">
        <v>28</v>
      </c>
    </row>
    <row r="16" spans="1:3" x14ac:dyDescent="0.25">
      <c r="A16" s="8">
        <v>4544559</v>
      </c>
      <c r="B16" s="9" t="s">
        <v>414</v>
      </c>
      <c r="C16" s="8" t="s">
        <v>28</v>
      </c>
    </row>
    <row r="17" spans="1:3" x14ac:dyDescent="0.25">
      <c r="A17" s="8">
        <v>4544560</v>
      </c>
      <c r="B17" s="9" t="s">
        <v>415</v>
      </c>
      <c r="C17" s="8" t="s">
        <v>28</v>
      </c>
    </row>
    <row r="18" spans="1:3" x14ac:dyDescent="0.25">
      <c r="A18" s="8">
        <v>4544570</v>
      </c>
      <c r="B18" s="9" t="s">
        <v>416</v>
      </c>
      <c r="C18" s="8" t="s">
        <v>26</v>
      </c>
    </row>
    <row r="19" spans="1:3" x14ac:dyDescent="0.25">
      <c r="A19" s="8">
        <v>4544572</v>
      </c>
      <c r="B19" s="9" t="s">
        <v>417</v>
      </c>
      <c r="C19" s="8" t="s">
        <v>26</v>
      </c>
    </row>
    <row r="20" spans="1:3" x14ac:dyDescent="0.25">
      <c r="A20" s="8">
        <v>4544573</v>
      </c>
      <c r="B20" s="9" t="s">
        <v>418</v>
      </c>
      <c r="C20" s="8" t="s">
        <v>26</v>
      </c>
    </row>
    <row r="21" spans="1:3" x14ac:dyDescent="0.25">
      <c r="A21" s="8">
        <v>4544574</v>
      </c>
      <c r="B21" s="9" t="s">
        <v>419</v>
      </c>
      <c r="C21" s="8" t="s">
        <v>26</v>
      </c>
    </row>
    <row r="22" spans="1:3" x14ac:dyDescent="0.25">
      <c r="A22" s="8">
        <v>4544579</v>
      </c>
      <c r="B22" s="9" t="s">
        <v>420</v>
      </c>
      <c r="C22" s="8" t="s">
        <v>28</v>
      </c>
    </row>
    <row r="23" spans="1:3" x14ac:dyDescent="0.25">
      <c r="A23" s="8">
        <v>4544582</v>
      </c>
      <c r="B23" s="9" t="s">
        <v>421</v>
      </c>
      <c r="C23" s="8" t="s">
        <v>26</v>
      </c>
    </row>
    <row r="24" spans="1:3" x14ac:dyDescent="0.25">
      <c r="A24" s="8">
        <v>4544667</v>
      </c>
      <c r="B24" s="9" t="s">
        <v>422</v>
      </c>
      <c r="C24" s="8" t="s">
        <v>28</v>
      </c>
    </row>
    <row r="25" spans="1:3" x14ac:dyDescent="0.25">
      <c r="A25" s="8">
        <v>4544669</v>
      </c>
      <c r="B25" s="9" t="s">
        <v>423</v>
      </c>
      <c r="C25" s="8" t="s">
        <v>26</v>
      </c>
    </row>
    <row r="26" spans="1:3" x14ac:dyDescent="0.25">
      <c r="A26" s="8">
        <v>4544677</v>
      </c>
      <c r="B26" s="9" t="s">
        <v>424</v>
      </c>
      <c r="C26" s="8" t="s">
        <v>26</v>
      </c>
    </row>
    <row r="27" spans="1:3" x14ac:dyDescent="0.25">
      <c r="A27" s="8">
        <v>4544681</v>
      </c>
      <c r="B27" s="9" t="s">
        <v>425</v>
      </c>
      <c r="C27" s="8" t="s">
        <v>26</v>
      </c>
    </row>
    <row r="28" spans="1:3" x14ac:dyDescent="0.25">
      <c r="A28" s="8">
        <v>4544687</v>
      </c>
      <c r="B28" s="9" t="s">
        <v>426</v>
      </c>
      <c r="C28" s="8" t="s">
        <v>28</v>
      </c>
    </row>
    <row r="29" spans="1:3" x14ac:dyDescent="0.25">
      <c r="A29" s="8">
        <v>4544692</v>
      </c>
      <c r="B29" s="9" t="s">
        <v>427</v>
      </c>
      <c r="C29" s="8" t="s">
        <v>28</v>
      </c>
    </row>
    <row r="30" spans="1:3" x14ac:dyDescent="0.25">
      <c r="A30" s="8">
        <v>4544703</v>
      </c>
      <c r="B30" s="9" t="s">
        <v>428</v>
      </c>
      <c r="C30" s="8" t="s">
        <v>28</v>
      </c>
    </row>
    <row r="31" spans="1:3" x14ac:dyDescent="0.25">
      <c r="A31" s="8">
        <v>4544704</v>
      </c>
      <c r="B31" s="9" t="s">
        <v>429</v>
      </c>
      <c r="C31" s="8" t="s">
        <v>28</v>
      </c>
    </row>
    <row r="32" spans="1:3" x14ac:dyDescent="0.25">
      <c r="A32" s="8">
        <v>4544705</v>
      </c>
      <c r="B32" s="9" t="s">
        <v>430</v>
      </c>
      <c r="C32" s="8" t="s">
        <v>28</v>
      </c>
    </row>
    <row r="33" spans="1:3" x14ac:dyDescent="0.25">
      <c r="A33" s="8">
        <v>4545062</v>
      </c>
      <c r="B33" s="9" t="s">
        <v>431</v>
      </c>
      <c r="C33" s="8" t="s">
        <v>26</v>
      </c>
    </row>
    <row r="34" spans="1:3" x14ac:dyDescent="0.25">
      <c r="A34" s="8">
        <v>4545063</v>
      </c>
      <c r="B34" s="9" t="s">
        <v>432</v>
      </c>
      <c r="C34" s="8" t="s">
        <v>26</v>
      </c>
    </row>
    <row r="35" spans="1:3" x14ac:dyDescent="0.25">
      <c r="A35" s="8">
        <v>4545064</v>
      </c>
      <c r="B35" s="9" t="s">
        <v>433</v>
      </c>
      <c r="C35" s="8" t="s">
        <v>26</v>
      </c>
    </row>
    <row r="36" spans="1:3" x14ac:dyDescent="0.25">
      <c r="A36" s="8">
        <v>4545167</v>
      </c>
      <c r="B36" s="9" t="s">
        <v>434</v>
      </c>
      <c r="C36" s="8" t="s">
        <v>31</v>
      </c>
    </row>
    <row r="37" spans="1:3" x14ac:dyDescent="0.25">
      <c r="A37" s="8">
        <v>4545168</v>
      </c>
      <c r="B37" s="9" t="s">
        <v>435</v>
      </c>
      <c r="C37" s="8" t="s">
        <v>31</v>
      </c>
    </row>
    <row r="38" spans="1:3" x14ac:dyDescent="0.25">
      <c r="A38" s="8">
        <v>4545169</v>
      </c>
      <c r="B38" s="9" t="s">
        <v>32</v>
      </c>
      <c r="C38" s="8" t="s">
        <v>31</v>
      </c>
    </row>
    <row r="39" spans="1:3" x14ac:dyDescent="0.25">
      <c r="A39" s="8">
        <v>4545171</v>
      </c>
      <c r="B39" s="9" t="s">
        <v>436</v>
      </c>
      <c r="C39" s="8" t="s">
        <v>31</v>
      </c>
    </row>
    <row r="40" spans="1:3" x14ac:dyDescent="0.25">
      <c r="A40" s="8">
        <v>4545172</v>
      </c>
      <c r="B40" s="9" t="s">
        <v>437</v>
      </c>
      <c r="C40" s="8" t="s">
        <v>31</v>
      </c>
    </row>
    <row r="41" spans="1:3" x14ac:dyDescent="0.25">
      <c r="A41" s="8">
        <v>4545179</v>
      </c>
      <c r="B41" s="9" t="s">
        <v>438</v>
      </c>
      <c r="C41" s="8" t="s">
        <v>27</v>
      </c>
    </row>
    <row r="42" spans="1:3" x14ac:dyDescent="0.25">
      <c r="A42" s="8">
        <v>4545196</v>
      </c>
      <c r="B42" s="9" t="s">
        <v>439</v>
      </c>
      <c r="C42" s="8" t="s">
        <v>27</v>
      </c>
    </row>
    <row r="43" spans="1:3" x14ac:dyDescent="0.25">
      <c r="A43" s="8">
        <v>4545200</v>
      </c>
      <c r="B43" s="9" t="s">
        <v>440</v>
      </c>
      <c r="C43" s="8" t="s">
        <v>31</v>
      </c>
    </row>
    <row r="44" spans="1:3" x14ac:dyDescent="0.25">
      <c r="A44" s="8">
        <v>4545201</v>
      </c>
      <c r="B44" s="9" t="s">
        <v>441</v>
      </c>
      <c r="C44" s="8" t="s">
        <v>27</v>
      </c>
    </row>
    <row r="45" spans="1:3" x14ac:dyDescent="0.25">
      <c r="A45" s="8">
        <v>4545214</v>
      </c>
      <c r="B45" s="9" t="s">
        <v>442</v>
      </c>
      <c r="C45" s="8" t="s">
        <v>27</v>
      </c>
    </row>
    <row r="46" spans="1:3" x14ac:dyDescent="0.25">
      <c r="A46" s="8">
        <v>4545215</v>
      </c>
      <c r="B46" s="9" t="s">
        <v>443</v>
      </c>
      <c r="C46" s="8" t="s">
        <v>27</v>
      </c>
    </row>
    <row r="47" spans="1:3" x14ac:dyDescent="0.25">
      <c r="A47" s="8">
        <v>4545217</v>
      </c>
      <c r="B47" s="9" t="s">
        <v>444</v>
      </c>
      <c r="C47" s="8" t="s">
        <v>27</v>
      </c>
    </row>
    <row r="48" spans="1:3" x14ac:dyDescent="0.25">
      <c r="A48" s="8">
        <v>4545218</v>
      </c>
      <c r="B48" s="9" t="s">
        <v>445</v>
      </c>
      <c r="C48" s="8" t="s">
        <v>27</v>
      </c>
    </row>
    <row r="49" spans="1:3" x14ac:dyDescent="0.25">
      <c r="A49" s="8">
        <v>4545223</v>
      </c>
      <c r="B49" s="9" t="s">
        <v>446</v>
      </c>
      <c r="C49" s="8" t="s">
        <v>27</v>
      </c>
    </row>
    <row r="50" spans="1:3" x14ac:dyDescent="0.25">
      <c r="A50" s="8">
        <v>4545226</v>
      </c>
      <c r="B50" s="9" t="s">
        <v>447</v>
      </c>
      <c r="C50" s="8" t="s">
        <v>27</v>
      </c>
    </row>
    <row r="51" spans="1:3" x14ac:dyDescent="0.25">
      <c r="A51" s="8">
        <v>4545227</v>
      </c>
      <c r="B51" s="9" t="s">
        <v>448</v>
      </c>
      <c r="C51" s="8" t="s">
        <v>27</v>
      </c>
    </row>
    <row r="52" spans="1:3" x14ac:dyDescent="0.25">
      <c r="A52" s="8">
        <v>4545236</v>
      </c>
      <c r="B52" s="9" t="s">
        <v>449</v>
      </c>
      <c r="C52" s="8" t="s">
        <v>27</v>
      </c>
    </row>
    <row r="53" spans="1:3" x14ac:dyDescent="0.25">
      <c r="A53" s="8">
        <v>4545237</v>
      </c>
      <c r="B53" s="9" t="s">
        <v>450</v>
      </c>
      <c r="C53" s="8" t="s">
        <v>27</v>
      </c>
    </row>
    <row r="54" spans="1:3" x14ac:dyDescent="0.25">
      <c r="A54" s="8">
        <v>4545238</v>
      </c>
      <c r="B54" s="9" t="s">
        <v>451</v>
      </c>
      <c r="C54" s="8" t="s">
        <v>27</v>
      </c>
    </row>
    <row r="55" spans="1:3" x14ac:dyDescent="0.25">
      <c r="A55" s="8">
        <v>4545251</v>
      </c>
      <c r="B55" s="9" t="s">
        <v>452</v>
      </c>
      <c r="C55" s="8" t="s">
        <v>27</v>
      </c>
    </row>
    <row r="56" spans="1:3" x14ac:dyDescent="0.25">
      <c r="A56" s="8">
        <v>4545252</v>
      </c>
      <c r="B56" s="9" t="s">
        <v>453</v>
      </c>
      <c r="C56" s="8" t="s">
        <v>27</v>
      </c>
    </row>
    <row r="57" spans="1:3" x14ac:dyDescent="0.25">
      <c r="A57" s="8">
        <v>4545291</v>
      </c>
      <c r="B57" s="9" t="s">
        <v>454</v>
      </c>
      <c r="C57" s="8" t="s">
        <v>28</v>
      </c>
    </row>
    <row r="58" spans="1:3" x14ac:dyDescent="0.25">
      <c r="A58" s="8">
        <v>4545295</v>
      </c>
      <c r="B58" s="9" t="s">
        <v>455</v>
      </c>
      <c r="C58" s="8" t="s">
        <v>26</v>
      </c>
    </row>
    <row r="59" spans="1:3" x14ac:dyDescent="0.25">
      <c r="A59" s="8">
        <v>4545304</v>
      </c>
      <c r="B59" s="9" t="s">
        <v>33</v>
      </c>
      <c r="C59" s="8" t="s">
        <v>26</v>
      </c>
    </row>
    <row r="60" spans="1:3" x14ac:dyDescent="0.25">
      <c r="A60" s="8">
        <v>4545324</v>
      </c>
      <c r="B60" s="9" t="s">
        <v>456</v>
      </c>
      <c r="C60" s="8" t="s">
        <v>26</v>
      </c>
    </row>
    <row r="61" spans="1:3" x14ac:dyDescent="0.25">
      <c r="A61" s="8">
        <v>4545355</v>
      </c>
      <c r="B61" s="9" t="s">
        <v>457</v>
      </c>
      <c r="C61" s="8" t="s">
        <v>26</v>
      </c>
    </row>
    <row r="62" spans="1:3" x14ac:dyDescent="0.25">
      <c r="A62" s="8">
        <v>4545386</v>
      </c>
      <c r="B62" s="9" t="s">
        <v>458</v>
      </c>
      <c r="C62" s="8" t="s">
        <v>26</v>
      </c>
    </row>
    <row r="63" spans="1:3" x14ac:dyDescent="0.25">
      <c r="A63" s="8">
        <v>4545416</v>
      </c>
      <c r="B63" s="9" t="s">
        <v>459</v>
      </c>
      <c r="C63" s="8" t="s">
        <v>26</v>
      </c>
    </row>
    <row r="64" spans="1:3" x14ac:dyDescent="0.25">
      <c r="A64" s="8">
        <v>4545522</v>
      </c>
      <c r="B64" s="9" t="s">
        <v>460</v>
      </c>
      <c r="C64" s="8" t="s">
        <v>26</v>
      </c>
    </row>
    <row r="65" spans="1:3" x14ac:dyDescent="0.25">
      <c r="A65" s="8">
        <v>4545523</v>
      </c>
      <c r="B65" s="9" t="s">
        <v>461</v>
      </c>
      <c r="C65" s="8" t="s">
        <v>26</v>
      </c>
    </row>
    <row r="66" spans="1:3" x14ac:dyDescent="0.25">
      <c r="A66" s="8">
        <v>4545524</v>
      </c>
      <c r="B66" s="9" t="s">
        <v>461</v>
      </c>
      <c r="C66" s="8" t="s">
        <v>26</v>
      </c>
    </row>
    <row r="67" spans="1:3" x14ac:dyDescent="0.25">
      <c r="A67" s="8">
        <v>4545525</v>
      </c>
      <c r="B67" s="9" t="s">
        <v>462</v>
      </c>
      <c r="C67" s="8" t="s">
        <v>26</v>
      </c>
    </row>
    <row r="68" spans="1:3" x14ac:dyDescent="0.25">
      <c r="A68" s="8">
        <v>4545526</v>
      </c>
      <c r="B68" s="9" t="s">
        <v>463</v>
      </c>
      <c r="C68" s="8" t="s">
        <v>26</v>
      </c>
    </row>
    <row r="69" spans="1:3" x14ac:dyDescent="0.25">
      <c r="A69" s="8">
        <v>4545531</v>
      </c>
      <c r="B69" s="9" t="s">
        <v>464</v>
      </c>
      <c r="C69" s="8" t="s">
        <v>28</v>
      </c>
    </row>
    <row r="70" spans="1:3" x14ac:dyDescent="0.25">
      <c r="A70" s="8">
        <v>4545542</v>
      </c>
      <c r="B70" s="9" t="s">
        <v>465</v>
      </c>
      <c r="C70" s="8" t="s">
        <v>26</v>
      </c>
    </row>
    <row r="71" spans="1:3" x14ac:dyDescent="0.25">
      <c r="A71" s="8">
        <v>4545554</v>
      </c>
      <c r="B71" s="9" t="s">
        <v>466</v>
      </c>
      <c r="C71" s="8" t="s">
        <v>28</v>
      </c>
    </row>
    <row r="72" spans="1:3" x14ac:dyDescent="0.25">
      <c r="A72" s="8">
        <v>4545567</v>
      </c>
      <c r="B72" s="9" t="s">
        <v>302</v>
      </c>
      <c r="C72" s="8" t="s">
        <v>26</v>
      </c>
    </row>
    <row r="73" spans="1:3" x14ac:dyDescent="0.25">
      <c r="A73" s="8">
        <v>4545610</v>
      </c>
      <c r="B73" s="9" t="s">
        <v>467</v>
      </c>
      <c r="C73" s="8" t="s">
        <v>28</v>
      </c>
    </row>
    <row r="74" spans="1:3" x14ac:dyDescent="0.25">
      <c r="A74" s="8">
        <v>4545632</v>
      </c>
      <c r="B74" s="9" t="s">
        <v>468</v>
      </c>
      <c r="C74" s="8" t="s">
        <v>28</v>
      </c>
    </row>
    <row r="75" spans="1:3" x14ac:dyDescent="0.25">
      <c r="A75" s="8">
        <v>4545649</v>
      </c>
      <c r="B75" s="9" t="s">
        <v>357</v>
      </c>
      <c r="C75" s="8" t="s">
        <v>26</v>
      </c>
    </row>
    <row r="76" spans="1:3" x14ac:dyDescent="0.25">
      <c r="A76" s="8">
        <v>4545651</v>
      </c>
      <c r="B76" s="9" t="s">
        <v>338</v>
      </c>
      <c r="C76" s="8" t="s">
        <v>26</v>
      </c>
    </row>
    <row r="77" spans="1:3" x14ac:dyDescent="0.25">
      <c r="A77" s="8">
        <v>4545652</v>
      </c>
      <c r="B77" s="9" t="s">
        <v>338</v>
      </c>
      <c r="C77" s="8" t="s">
        <v>26</v>
      </c>
    </row>
    <row r="78" spans="1:3" x14ac:dyDescent="0.25">
      <c r="A78" s="8">
        <v>4545653</v>
      </c>
      <c r="B78" s="9" t="s">
        <v>338</v>
      </c>
      <c r="C78" s="8" t="s">
        <v>26</v>
      </c>
    </row>
    <row r="79" spans="1:3" x14ac:dyDescent="0.25">
      <c r="A79" s="8">
        <v>4545698</v>
      </c>
      <c r="B79" s="9" t="s">
        <v>469</v>
      </c>
      <c r="C79" s="8" t="s">
        <v>31</v>
      </c>
    </row>
    <row r="80" spans="1:3" x14ac:dyDescent="0.25">
      <c r="A80" s="8">
        <v>4545704</v>
      </c>
      <c r="B80" s="9" t="s">
        <v>470</v>
      </c>
      <c r="C80" s="8" t="s">
        <v>26</v>
      </c>
    </row>
    <row r="81" spans="1:3" x14ac:dyDescent="0.25">
      <c r="A81" s="8">
        <v>4545717</v>
      </c>
      <c r="B81" s="9" t="s">
        <v>471</v>
      </c>
      <c r="C81" s="8" t="s">
        <v>27</v>
      </c>
    </row>
    <row r="82" spans="1:3" x14ac:dyDescent="0.25">
      <c r="A82" s="8">
        <v>4545746</v>
      </c>
      <c r="B82" s="9" t="s">
        <v>472</v>
      </c>
      <c r="C82" s="8" t="s">
        <v>26</v>
      </c>
    </row>
    <row r="83" spans="1:3" x14ac:dyDescent="0.25">
      <c r="A83" s="8">
        <v>4545752</v>
      </c>
      <c r="B83" s="9" t="s">
        <v>473</v>
      </c>
      <c r="C83" s="8" t="s">
        <v>26</v>
      </c>
    </row>
    <row r="84" spans="1:3" x14ac:dyDescent="0.25">
      <c r="A84" s="8">
        <v>4545775</v>
      </c>
      <c r="B84" s="9" t="s">
        <v>474</v>
      </c>
      <c r="C84" s="8" t="s">
        <v>26</v>
      </c>
    </row>
    <row r="85" spans="1:3" x14ac:dyDescent="0.25">
      <c r="A85" s="8">
        <v>4545776</v>
      </c>
      <c r="B85" s="9" t="s">
        <v>475</v>
      </c>
      <c r="C85" s="8" t="s">
        <v>26</v>
      </c>
    </row>
    <row r="86" spans="1:3" x14ac:dyDescent="0.25">
      <c r="A86" s="8">
        <v>4545777</v>
      </c>
      <c r="B86" s="9" t="s">
        <v>476</v>
      </c>
      <c r="C86" s="8" t="s">
        <v>26</v>
      </c>
    </row>
    <row r="87" spans="1:3" x14ac:dyDescent="0.25">
      <c r="A87" s="8">
        <v>4545778</v>
      </c>
      <c r="B87" s="9" t="s">
        <v>477</v>
      </c>
      <c r="C87" s="8" t="s">
        <v>26</v>
      </c>
    </row>
    <row r="88" spans="1:3" x14ac:dyDescent="0.25">
      <c r="A88" s="8">
        <v>4545787</v>
      </c>
      <c r="B88" s="9" t="s">
        <v>478</v>
      </c>
      <c r="C88" s="8" t="s">
        <v>28</v>
      </c>
    </row>
    <row r="89" spans="1:3" x14ac:dyDescent="0.25">
      <c r="A89" s="8">
        <v>4545799</v>
      </c>
      <c r="B89" s="9" t="s">
        <v>479</v>
      </c>
      <c r="C89" s="8" t="s">
        <v>26</v>
      </c>
    </row>
    <row r="90" spans="1:3" x14ac:dyDescent="0.25">
      <c r="A90" s="8">
        <v>4545803</v>
      </c>
      <c r="B90" s="9" t="s">
        <v>480</v>
      </c>
      <c r="C90" s="8" t="s">
        <v>26</v>
      </c>
    </row>
    <row r="91" spans="1:3" x14ac:dyDescent="0.25">
      <c r="A91" s="8">
        <v>4545804</v>
      </c>
      <c r="B91" s="9" t="s">
        <v>481</v>
      </c>
      <c r="C91" s="8" t="s">
        <v>28</v>
      </c>
    </row>
    <row r="92" spans="1:3" x14ac:dyDescent="0.25">
      <c r="A92" s="8">
        <v>4545808</v>
      </c>
      <c r="B92" s="9" t="s">
        <v>482</v>
      </c>
      <c r="C92" s="8" t="s">
        <v>28</v>
      </c>
    </row>
    <row r="93" spans="1:3" x14ac:dyDescent="0.25">
      <c r="A93" s="8">
        <v>4545815</v>
      </c>
      <c r="B93" s="9" t="s">
        <v>483</v>
      </c>
      <c r="C93" s="8" t="s">
        <v>26</v>
      </c>
    </row>
    <row r="94" spans="1:3" x14ac:dyDescent="0.25">
      <c r="A94" s="8">
        <v>4545816</v>
      </c>
      <c r="B94" s="9" t="s">
        <v>484</v>
      </c>
      <c r="C94" s="8" t="s">
        <v>26</v>
      </c>
    </row>
    <row r="95" spans="1:3" x14ac:dyDescent="0.25">
      <c r="A95" s="8">
        <v>4545821</v>
      </c>
      <c r="B95" s="9" t="s">
        <v>485</v>
      </c>
      <c r="C95" s="8" t="s">
        <v>28</v>
      </c>
    </row>
    <row r="96" spans="1:3" x14ac:dyDescent="0.25">
      <c r="A96" s="8">
        <v>4545822</v>
      </c>
      <c r="B96" s="9" t="s">
        <v>486</v>
      </c>
      <c r="C96" s="8" t="s">
        <v>26</v>
      </c>
    </row>
    <row r="97" spans="1:3" x14ac:dyDescent="0.25">
      <c r="A97" s="8">
        <v>4545825</v>
      </c>
      <c r="B97" s="9" t="s">
        <v>487</v>
      </c>
      <c r="C97" s="8" t="s">
        <v>26</v>
      </c>
    </row>
    <row r="98" spans="1:3" x14ac:dyDescent="0.25">
      <c r="A98" s="8">
        <v>4545833</v>
      </c>
      <c r="B98" s="9" t="s">
        <v>488</v>
      </c>
      <c r="C98" s="8" t="s">
        <v>26</v>
      </c>
    </row>
    <row r="99" spans="1:3" x14ac:dyDescent="0.25">
      <c r="A99" s="8">
        <v>4545834</v>
      </c>
      <c r="B99" s="9" t="s">
        <v>489</v>
      </c>
      <c r="C99" s="8" t="s">
        <v>26</v>
      </c>
    </row>
    <row r="100" spans="1:3" x14ac:dyDescent="0.25">
      <c r="A100" s="8">
        <v>4545835</v>
      </c>
      <c r="B100" s="9" t="s">
        <v>490</v>
      </c>
      <c r="C100" s="8" t="s">
        <v>26</v>
      </c>
    </row>
    <row r="101" spans="1:3" x14ac:dyDescent="0.25">
      <c r="A101" s="8">
        <v>4545841</v>
      </c>
      <c r="B101" s="9" t="s">
        <v>491</v>
      </c>
      <c r="C101" s="8" t="s">
        <v>28</v>
      </c>
    </row>
    <row r="102" spans="1:3" x14ac:dyDescent="0.25">
      <c r="A102" s="8">
        <v>4545846</v>
      </c>
      <c r="B102" s="9" t="s">
        <v>492</v>
      </c>
      <c r="C102" s="8" t="s">
        <v>26</v>
      </c>
    </row>
    <row r="103" spans="1:3" x14ac:dyDescent="0.25">
      <c r="A103" s="8">
        <v>4545855</v>
      </c>
      <c r="B103" s="9" t="s">
        <v>493</v>
      </c>
      <c r="C103" s="8" t="s">
        <v>28</v>
      </c>
    </row>
    <row r="104" spans="1:3" x14ac:dyDescent="0.25">
      <c r="A104" s="8">
        <v>4545868</v>
      </c>
      <c r="B104" s="9" t="s">
        <v>494</v>
      </c>
      <c r="C104" s="8" t="s">
        <v>28</v>
      </c>
    </row>
    <row r="105" spans="1:3" x14ac:dyDescent="0.25">
      <c r="A105" s="8">
        <v>4545869</v>
      </c>
      <c r="B105" s="9" t="s">
        <v>495</v>
      </c>
      <c r="C105" s="8" t="s">
        <v>28</v>
      </c>
    </row>
    <row r="106" spans="1:3" x14ac:dyDescent="0.25">
      <c r="A106" s="8">
        <v>4545870</v>
      </c>
      <c r="B106" s="9" t="s">
        <v>496</v>
      </c>
      <c r="C106" s="8" t="s">
        <v>26</v>
      </c>
    </row>
    <row r="107" spans="1:3" x14ac:dyDescent="0.25">
      <c r="A107" s="8">
        <v>4545872</v>
      </c>
      <c r="B107" s="9" t="s">
        <v>497</v>
      </c>
      <c r="C107" s="8" t="s">
        <v>28</v>
      </c>
    </row>
    <row r="108" spans="1:3" x14ac:dyDescent="0.25">
      <c r="A108" s="8">
        <v>4545874</v>
      </c>
      <c r="B108" s="9" t="s">
        <v>498</v>
      </c>
      <c r="C108" s="8" t="s">
        <v>28</v>
      </c>
    </row>
    <row r="109" spans="1:3" x14ac:dyDescent="0.25">
      <c r="A109" s="8">
        <v>4545875</v>
      </c>
      <c r="B109" s="9" t="s">
        <v>499</v>
      </c>
      <c r="C109" s="8" t="s">
        <v>28</v>
      </c>
    </row>
    <row r="110" spans="1:3" x14ac:dyDescent="0.25">
      <c r="A110" s="8">
        <v>4545878</v>
      </c>
      <c r="B110" s="9" t="s">
        <v>500</v>
      </c>
      <c r="C110" s="8" t="s">
        <v>26</v>
      </c>
    </row>
    <row r="111" spans="1:3" x14ac:dyDescent="0.25">
      <c r="A111" s="8">
        <v>4545879</v>
      </c>
      <c r="B111" s="9" t="s">
        <v>501</v>
      </c>
      <c r="C111" s="8" t="s">
        <v>26</v>
      </c>
    </row>
    <row r="112" spans="1:3" x14ac:dyDescent="0.25">
      <c r="A112" s="8">
        <v>4545882</v>
      </c>
      <c r="B112" s="9" t="s">
        <v>502</v>
      </c>
      <c r="C112" s="8" t="s">
        <v>28</v>
      </c>
    </row>
    <row r="113" spans="1:3" x14ac:dyDescent="0.25">
      <c r="A113" s="8">
        <v>4545883</v>
      </c>
      <c r="B113" s="9" t="s">
        <v>503</v>
      </c>
      <c r="C113" s="8" t="s">
        <v>28</v>
      </c>
    </row>
    <row r="114" spans="1:3" x14ac:dyDescent="0.25">
      <c r="A114" s="8">
        <v>4545884</v>
      </c>
      <c r="B114" s="9" t="s">
        <v>504</v>
      </c>
      <c r="C114" s="8" t="s">
        <v>28</v>
      </c>
    </row>
    <row r="115" spans="1:3" x14ac:dyDescent="0.25">
      <c r="A115" s="8">
        <v>4545886</v>
      </c>
      <c r="B115" s="9" t="s">
        <v>505</v>
      </c>
      <c r="C115" s="8" t="s">
        <v>28</v>
      </c>
    </row>
    <row r="116" spans="1:3" x14ac:dyDescent="0.25">
      <c r="A116" s="8">
        <v>4545887</v>
      </c>
      <c r="B116" s="9" t="s">
        <v>506</v>
      </c>
      <c r="C116" s="8" t="s">
        <v>28</v>
      </c>
    </row>
    <row r="117" spans="1:3" x14ac:dyDescent="0.25">
      <c r="A117" s="8">
        <v>4545888</v>
      </c>
      <c r="B117" s="9" t="s">
        <v>507</v>
      </c>
      <c r="C117" s="8" t="s">
        <v>28</v>
      </c>
    </row>
    <row r="118" spans="1:3" x14ac:dyDescent="0.25">
      <c r="A118" s="8">
        <v>4545889</v>
      </c>
      <c r="B118" s="9" t="s">
        <v>508</v>
      </c>
      <c r="C118" s="8" t="s">
        <v>28</v>
      </c>
    </row>
    <row r="119" spans="1:3" x14ac:dyDescent="0.25">
      <c r="A119" s="8">
        <v>4545890</v>
      </c>
      <c r="B119" s="9" t="s">
        <v>509</v>
      </c>
      <c r="C119" s="8" t="s">
        <v>28</v>
      </c>
    </row>
    <row r="120" spans="1:3" x14ac:dyDescent="0.25">
      <c r="A120" s="8">
        <v>4545891</v>
      </c>
      <c r="B120" s="9" t="s">
        <v>510</v>
      </c>
      <c r="C120" s="8" t="s">
        <v>28</v>
      </c>
    </row>
    <row r="121" spans="1:3" x14ac:dyDescent="0.25">
      <c r="A121" s="8">
        <v>4545893</v>
      </c>
      <c r="B121" s="9" t="s">
        <v>511</v>
      </c>
      <c r="C121" s="8" t="s">
        <v>28</v>
      </c>
    </row>
    <row r="122" spans="1:3" x14ac:dyDescent="0.25">
      <c r="A122" s="8">
        <v>4545894</v>
      </c>
      <c r="B122" s="9" t="s">
        <v>512</v>
      </c>
      <c r="C122" s="8" t="s">
        <v>28</v>
      </c>
    </row>
    <row r="123" spans="1:3" x14ac:dyDescent="0.25">
      <c r="A123" s="8">
        <v>4545898</v>
      </c>
      <c r="B123" s="9" t="s">
        <v>513</v>
      </c>
      <c r="C123" s="8" t="s">
        <v>26</v>
      </c>
    </row>
    <row r="124" spans="1:3" x14ac:dyDescent="0.25">
      <c r="A124" s="8">
        <v>4545899</v>
      </c>
      <c r="B124" s="9" t="s">
        <v>514</v>
      </c>
      <c r="C124" s="8" t="s">
        <v>26</v>
      </c>
    </row>
    <row r="125" spans="1:3" x14ac:dyDescent="0.25">
      <c r="A125" s="8">
        <v>4545901</v>
      </c>
      <c r="B125" s="9" t="s">
        <v>515</v>
      </c>
      <c r="C125" s="8" t="s">
        <v>26</v>
      </c>
    </row>
    <row r="126" spans="1:3" x14ac:dyDescent="0.25">
      <c r="A126" s="8">
        <v>4545905</v>
      </c>
      <c r="B126" s="9" t="s">
        <v>516</v>
      </c>
      <c r="C126" s="8" t="s">
        <v>26</v>
      </c>
    </row>
    <row r="127" spans="1:3" x14ac:dyDescent="0.25">
      <c r="A127" s="8">
        <v>4545909</v>
      </c>
      <c r="B127" s="9" t="s">
        <v>517</v>
      </c>
      <c r="C127" s="8" t="s">
        <v>26</v>
      </c>
    </row>
    <row r="128" spans="1:3" x14ac:dyDescent="0.25">
      <c r="A128" s="8">
        <v>4545910</v>
      </c>
      <c r="B128" s="9" t="s">
        <v>518</v>
      </c>
      <c r="C128" s="8" t="s">
        <v>26</v>
      </c>
    </row>
    <row r="129" spans="1:3" x14ac:dyDescent="0.25">
      <c r="A129" s="8">
        <v>4545911</v>
      </c>
      <c r="B129" s="9" t="s">
        <v>519</v>
      </c>
      <c r="C129" s="8" t="s">
        <v>26</v>
      </c>
    </row>
    <row r="130" spans="1:3" x14ac:dyDescent="0.25">
      <c r="A130" s="8">
        <v>4545912</v>
      </c>
      <c r="B130" s="9" t="s">
        <v>520</v>
      </c>
      <c r="C130" s="8" t="s">
        <v>26</v>
      </c>
    </row>
    <row r="131" spans="1:3" x14ac:dyDescent="0.25">
      <c r="A131" s="8">
        <v>4545914</v>
      </c>
      <c r="B131" s="9" t="s">
        <v>521</v>
      </c>
      <c r="C131" s="8" t="s">
        <v>26</v>
      </c>
    </row>
    <row r="132" spans="1:3" x14ac:dyDescent="0.25">
      <c r="A132" s="8">
        <v>4545916</v>
      </c>
      <c r="B132" s="9" t="s">
        <v>522</v>
      </c>
      <c r="C132" s="8" t="s">
        <v>28</v>
      </c>
    </row>
    <row r="133" spans="1:3" x14ac:dyDescent="0.25">
      <c r="A133" s="8">
        <v>4545917</v>
      </c>
      <c r="B133" s="9" t="s">
        <v>523</v>
      </c>
      <c r="C133" s="8" t="s">
        <v>28</v>
      </c>
    </row>
    <row r="134" spans="1:3" x14ac:dyDescent="0.25">
      <c r="A134" s="8">
        <v>4545919</v>
      </c>
      <c r="B134" s="9" t="s">
        <v>524</v>
      </c>
      <c r="C134" s="8" t="s">
        <v>26</v>
      </c>
    </row>
    <row r="135" spans="1:3" x14ac:dyDescent="0.25">
      <c r="A135" s="8">
        <v>4545922</v>
      </c>
      <c r="B135" s="9" t="s">
        <v>525</v>
      </c>
      <c r="C135" s="8" t="s">
        <v>26</v>
      </c>
    </row>
    <row r="136" spans="1:3" x14ac:dyDescent="0.25">
      <c r="A136" s="8">
        <v>4545929</v>
      </c>
      <c r="B136" s="9" t="s">
        <v>526</v>
      </c>
      <c r="C136" s="8" t="s">
        <v>28</v>
      </c>
    </row>
    <row r="137" spans="1:3" x14ac:dyDescent="0.25">
      <c r="A137" s="8">
        <v>4545932</v>
      </c>
      <c r="B137" s="9" t="s">
        <v>527</v>
      </c>
      <c r="C137" s="8" t="s">
        <v>28</v>
      </c>
    </row>
    <row r="138" spans="1:3" x14ac:dyDescent="0.25">
      <c r="A138" s="8">
        <v>4545935</v>
      </c>
      <c r="B138" s="9" t="s">
        <v>528</v>
      </c>
      <c r="C138" s="8" t="s">
        <v>28</v>
      </c>
    </row>
    <row r="139" spans="1:3" x14ac:dyDescent="0.25">
      <c r="A139" s="8">
        <v>4545937</v>
      </c>
      <c r="B139" s="9" t="s">
        <v>362</v>
      </c>
      <c r="C139" s="8" t="s">
        <v>26</v>
      </c>
    </row>
    <row r="140" spans="1:3" x14ac:dyDescent="0.25">
      <c r="A140" s="8">
        <v>4545939</v>
      </c>
      <c r="B140" s="9" t="s">
        <v>529</v>
      </c>
      <c r="C140" s="8" t="s">
        <v>26</v>
      </c>
    </row>
    <row r="141" spans="1:3" x14ac:dyDescent="0.25">
      <c r="A141" s="8">
        <v>4545941</v>
      </c>
      <c r="B141" s="9" t="s">
        <v>530</v>
      </c>
      <c r="C141" s="8" t="s">
        <v>26</v>
      </c>
    </row>
    <row r="142" spans="1:3" x14ac:dyDescent="0.25">
      <c r="A142" s="8">
        <v>4545942</v>
      </c>
      <c r="B142" s="9" t="s">
        <v>530</v>
      </c>
      <c r="C142" s="8" t="s">
        <v>26</v>
      </c>
    </row>
    <row r="143" spans="1:3" x14ac:dyDescent="0.25">
      <c r="A143" s="8">
        <v>4545943</v>
      </c>
      <c r="B143" s="9" t="s">
        <v>530</v>
      </c>
      <c r="C143" s="8" t="s">
        <v>26</v>
      </c>
    </row>
    <row r="144" spans="1:3" x14ac:dyDescent="0.25">
      <c r="A144" s="8">
        <v>4545944</v>
      </c>
      <c r="B144" s="9" t="s">
        <v>531</v>
      </c>
      <c r="C144" s="8" t="s">
        <v>28</v>
      </c>
    </row>
    <row r="145" spans="1:3" x14ac:dyDescent="0.25">
      <c r="A145" s="8">
        <v>4545948</v>
      </c>
      <c r="B145" s="9" t="s">
        <v>532</v>
      </c>
      <c r="C145" s="8" t="s">
        <v>28</v>
      </c>
    </row>
    <row r="146" spans="1:3" x14ac:dyDescent="0.25">
      <c r="A146" s="8">
        <v>4545955</v>
      </c>
      <c r="B146" s="9" t="s">
        <v>533</v>
      </c>
      <c r="C146" s="8" t="s">
        <v>28</v>
      </c>
    </row>
    <row r="147" spans="1:3" x14ac:dyDescent="0.25">
      <c r="A147" s="8">
        <v>4545958</v>
      </c>
      <c r="B147" s="9" t="s">
        <v>534</v>
      </c>
      <c r="C147" s="8" t="s">
        <v>26</v>
      </c>
    </row>
    <row r="148" spans="1:3" x14ac:dyDescent="0.25">
      <c r="A148" s="8">
        <v>4545959</v>
      </c>
      <c r="B148" s="9" t="s">
        <v>535</v>
      </c>
      <c r="C148" s="8" t="s">
        <v>26</v>
      </c>
    </row>
    <row r="149" spans="1:3" x14ac:dyDescent="0.25">
      <c r="A149" s="8">
        <v>4545960</v>
      </c>
      <c r="B149" s="9" t="s">
        <v>536</v>
      </c>
      <c r="C149" s="8" t="s">
        <v>28</v>
      </c>
    </row>
    <row r="150" spans="1:3" x14ac:dyDescent="0.25">
      <c r="A150" s="8">
        <v>4545961</v>
      </c>
      <c r="B150" s="9" t="s">
        <v>537</v>
      </c>
      <c r="C150" s="8" t="s">
        <v>28</v>
      </c>
    </row>
    <row r="151" spans="1:3" x14ac:dyDescent="0.25">
      <c r="A151" s="8">
        <v>4545964</v>
      </c>
      <c r="B151" s="9" t="s">
        <v>362</v>
      </c>
      <c r="C151" s="8" t="s">
        <v>26</v>
      </c>
    </row>
    <row r="152" spans="1:3" x14ac:dyDescent="0.25">
      <c r="A152" s="8">
        <v>4545977</v>
      </c>
      <c r="B152" s="9" t="s">
        <v>538</v>
      </c>
      <c r="C152" s="8" t="s">
        <v>26</v>
      </c>
    </row>
    <row r="153" spans="1:3" x14ac:dyDescent="0.25">
      <c r="A153" s="8">
        <v>4545978</v>
      </c>
      <c r="B153" s="9" t="s">
        <v>539</v>
      </c>
      <c r="C153" s="8" t="s">
        <v>26</v>
      </c>
    </row>
    <row r="154" spans="1:3" x14ac:dyDescent="0.25">
      <c r="A154" s="8">
        <v>4545979</v>
      </c>
      <c r="B154" s="9" t="s">
        <v>540</v>
      </c>
      <c r="C154" s="8" t="s">
        <v>26</v>
      </c>
    </row>
    <row r="155" spans="1:3" x14ac:dyDescent="0.25">
      <c r="A155" s="8">
        <v>4546057</v>
      </c>
      <c r="B155" s="9" t="s">
        <v>541</v>
      </c>
      <c r="C155" s="8" t="s">
        <v>26</v>
      </c>
    </row>
    <row r="156" spans="1:3" x14ac:dyDescent="0.25">
      <c r="A156" s="8">
        <v>4546058</v>
      </c>
      <c r="B156" s="9" t="s">
        <v>542</v>
      </c>
      <c r="C156" s="8" t="s">
        <v>26</v>
      </c>
    </row>
    <row r="157" spans="1:3" x14ac:dyDescent="0.25">
      <c r="A157" s="8">
        <v>4546061</v>
      </c>
      <c r="B157" s="9" t="s">
        <v>543</v>
      </c>
      <c r="C157" s="8" t="s">
        <v>26</v>
      </c>
    </row>
    <row r="158" spans="1:3" x14ac:dyDescent="0.25">
      <c r="A158" s="8">
        <v>4546089</v>
      </c>
      <c r="B158" s="9" t="s">
        <v>544</v>
      </c>
      <c r="C158" s="8" t="s">
        <v>26</v>
      </c>
    </row>
    <row r="159" spans="1:3" x14ac:dyDescent="0.25">
      <c r="A159" s="8">
        <v>4546091</v>
      </c>
      <c r="B159" s="9" t="s">
        <v>545</v>
      </c>
      <c r="C159" s="8" t="s">
        <v>28</v>
      </c>
    </row>
    <row r="160" spans="1:3" x14ac:dyDescent="0.25">
      <c r="A160" s="8">
        <v>4546094</v>
      </c>
      <c r="B160" s="9" t="s">
        <v>546</v>
      </c>
      <c r="C160" s="8" t="s">
        <v>28</v>
      </c>
    </row>
    <row r="161" spans="1:3" x14ac:dyDescent="0.25">
      <c r="A161" s="8">
        <v>4546097</v>
      </c>
      <c r="B161" s="9" t="s">
        <v>547</v>
      </c>
      <c r="C161" s="8" t="s">
        <v>26</v>
      </c>
    </row>
    <row r="162" spans="1:3" x14ac:dyDescent="0.25">
      <c r="A162" s="8">
        <v>4546155</v>
      </c>
      <c r="B162" s="9" t="s">
        <v>548</v>
      </c>
      <c r="C162" s="8" t="s">
        <v>28</v>
      </c>
    </row>
    <row r="163" spans="1:3" x14ac:dyDescent="0.25">
      <c r="A163" s="8">
        <v>4546435</v>
      </c>
      <c r="B163" s="9" t="s">
        <v>549</v>
      </c>
      <c r="C163" s="8" t="s">
        <v>28</v>
      </c>
    </row>
    <row r="164" spans="1:3" x14ac:dyDescent="0.25">
      <c r="A164" s="8">
        <v>4546436</v>
      </c>
      <c r="B164" s="9" t="s">
        <v>550</v>
      </c>
      <c r="C164" s="8" t="s">
        <v>26</v>
      </c>
    </row>
    <row r="165" spans="1:3" x14ac:dyDescent="0.25">
      <c r="A165" s="8">
        <v>4546438</v>
      </c>
      <c r="B165" s="9" t="s">
        <v>551</v>
      </c>
      <c r="C165" s="8" t="s">
        <v>26</v>
      </c>
    </row>
    <row r="166" spans="1:3" x14ac:dyDescent="0.25">
      <c r="A166" s="8">
        <v>4546440</v>
      </c>
      <c r="B166" s="9" t="s">
        <v>552</v>
      </c>
      <c r="C166" s="8" t="s">
        <v>28</v>
      </c>
    </row>
    <row r="167" spans="1:3" x14ac:dyDescent="0.25">
      <c r="A167" s="8">
        <v>4546441</v>
      </c>
      <c r="B167" s="9" t="s">
        <v>553</v>
      </c>
      <c r="C167" s="8" t="s">
        <v>28</v>
      </c>
    </row>
    <row r="168" spans="1:3" x14ac:dyDescent="0.25">
      <c r="A168" s="8">
        <v>4546442</v>
      </c>
      <c r="B168" s="9" t="s">
        <v>554</v>
      </c>
      <c r="C168" s="8" t="s">
        <v>28</v>
      </c>
    </row>
    <row r="169" spans="1:3" x14ac:dyDescent="0.25">
      <c r="A169" s="8">
        <v>4546443</v>
      </c>
      <c r="B169" s="9" t="s">
        <v>555</v>
      </c>
      <c r="C169" s="8" t="s">
        <v>28</v>
      </c>
    </row>
    <row r="170" spans="1:3" x14ac:dyDescent="0.25">
      <c r="A170" s="8">
        <v>4546445</v>
      </c>
      <c r="B170" s="9" t="s">
        <v>556</v>
      </c>
      <c r="C170" s="8" t="s">
        <v>28</v>
      </c>
    </row>
    <row r="171" spans="1:3" x14ac:dyDescent="0.25">
      <c r="A171" s="8">
        <v>4546446</v>
      </c>
      <c r="B171" s="9" t="s">
        <v>557</v>
      </c>
      <c r="C171" s="8" t="s">
        <v>28</v>
      </c>
    </row>
    <row r="172" spans="1:3" x14ac:dyDescent="0.25">
      <c r="A172" s="8">
        <v>4546447</v>
      </c>
      <c r="B172" s="9" t="s">
        <v>558</v>
      </c>
      <c r="C172" s="8" t="s">
        <v>28</v>
      </c>
    </row>
    <row r="173" spans="1:3" x14ac:dyDescent="0.25">
      <c r="A173" s="8">
        <v>4546448</v>
      </c>
      <c r="B173" s="9" t="s">
        <v>559</v>
      </c>
      <c r="C173" s="8" t="s">
        <v>28</v>
      </c>
    </row>
    <row r="174" spans="1:3" x14ac:dyDescent="0.25">
      <c r="A174" s="8">
        <v>4546476</v>
      </c>
      <c r="B174" s="9" t="s">
        <v>560</v>
      </c>
      <c r="C174" s="8" t="s">
        <v>28</v>
      </c>
    </row>
    <row r="175" spans="1:3" x14ac:dyDescent="0.25">
      <c r="A175" s="8">
        <v>4546722</v>
      </c>
      <c r="B175" s="9" t="s">
        <v>561</v>
      </c>
      <c r="C175" s="8" t="s">
        <v>27</v>
      </c>
    </row>
    <row r="176" spans="1:3" x14ac:dyDescent="0.25">
      <c r="A176" s="8">
        <v>4546750</v>
      </c>
      <c r="B176" s="9" t="s">
        <v>562</v>
      </c>
      <c r="C176" s="8" t="s">
        <v>27</v>
      </c>
    </row>
    <row r="177" spans="1:3" x14ac:dyDescent="0.25">
      <c r="A177" s="8">
        <v>4546751</v>
      </c>
      <c r="B177" s="9" t="s">
        <v>563</v>
      </c>
      <c r="C177" s="8" t="s">
        <v>27</v>
      </c>
    </row>
    <row r="178" spans="1:3" x14ac:dyDescent="0.25">
      <c r="A178" s="8">
        <v>4546759</v>
      </c>
      <c r="B178" s="9" t="s">
        <v>564</v>
      </c>
      <c r="C178" s="8" t="s">
        <v>27</v>
      </c>
    </row>
    <row r="179" spans="1:3" x14ac:dyDescent="0.25">
      <c r="A179" s="8">
        <v>4546787</v>
      </c>
      <c r="B179" s="9" t="s">
        <v>565</v>
      </c>
      <c r="C179" s="8" t="s">
        <v>26</v>
      </c>
    </row>
    <row r="180" spans="1:3" x14ac:dyDescent="0.25">
      <c r="A180" s="8">
        <v>4546792</v>
      </c>
      <c r="B180" s="9" t="s">
        <v>566</v>
      </c>
      <c r="C180" s="8" t="s">
        <v>26</v>
      </c>
    </row>
    <row r="181" spans="1:3" x14ac:dyDescent="0.25">
      <c r="A181" s="8">
        <v>4546817</v>
      </c>
      <c r="B181" s="9" t="s">
        <v>567</v>
      </c>
      <c r="C181" s="8" t="s">
        <v>26</v>
      </c>
    </row>
    <row r="182" spans="1:3" x14ac:dyDescent="0.25">
      <c r="A182" s="8">
        <v>4547068</v>
      </c>
      <c r="B182" s="9" t="s">
        <v>568</v>
      </c>
      <c r="C182" s="8" t="s">
        <v>28</v>
      </c>
    </row>
    <row r="183" spans="1:3" x14ac:dyDescent="0.25">
      <c r="A183" s="8">
        <v>4547275</v>
      </c>
      <c r="B183" s="9" t="s">
        <v>569</v>
      </c>
      <c r="C183" s="8" t="s">
        <v>26</v>
      </c>
    </row>
    <row r="184" spans="1:3" x14ac:dyDescent="0.25">
      <c r="A184" s="8">
        <v>4547277</v>
      </c>
      <c r="B184" s="9" t="s">
        <v>570</v>
      </c>
      <c r="C184" s="8" t="s">
        <v>26</v>
      </c>
    </row>
    <row r="185" spans="1:3" x14ac:dyDescent="0.25">
      <c r="A185" s="8">
        <v>4547278</v>
      </c>
      <c r="B185" s="9" t="s">
        <v>571</v>
      </c>
      <c r="C185" s="8" t="s">
        <v>31</v>
      </c>
    </row>
    <row r="186" spans="1:3" x14ac:dyDescent="0.25">
      <c r="A186" s="8">
        <v>4547279</v>
      </c>
      <c r="B186" s="9" t="s">
        <v>572</v>
      </c>
      <c r="C186" s="8" t="s">
        <v>31</v>
      </c>
    </row>
    <row r="187" spans="1:3" x14ac:dyDescent="0.25">
      <c r="A187" s="8">
        <v>4547280</v>
      </c>
      <c r="B187" s="9" t="s">
        <v>573</v>
      </c>
      <c r="C187" s="8" t="s">
        <v>31</v>
      </c>
    </row>
    <row r="188" spans="1:3" x14ac:dyDescent="0.25">
      <c r="A188" s="8">
        <v>4547281</v>
      </c>
      <c r="B188" s="9" t="s">
        <v>574</v>
      </c>
      <c r="C188" s="8" t="s">
        <v>26</v>
      </c>
    </row>
    <row r="189" spans="1:3" x14ac:dyDescent="0.25">
      <c r="A189" s="8">
        <v>4547286</v>
      </c>
      <c r="B189" s="9" t="s">
        <v>575</v>
      </c>
      <c r="C189" s="8" t="s">
        <v>28</v>
      </c>
    </row>
    <row r="190" spans="1:3" x14ac:dyDescent="0.25">
      <c r="A190" s="8">
        <v>4547287</v>
      </c>
      <c r="B190" s="9" t="s">
        <v>576</v>
      </c>
      <c r="C190" s="8" t="s">
        <v>31</v>
      </c>
    </row>
    <row r="191" spans="1:3" x14ac:dyDescent="0.25">
      <c r="A191" s="8">
        <v>4547288</v>
      </c>
      <c r="B191" s="9" t="s">
        <v>577</v>
      </c>
      <c r="C191" s="8" t="s">
        <v>31</v>
      </c>
    </row>
    <row r="192" spans="1:3" x14ac:dyDescent="0.25">
      <c r="A192" s="8">
        <v>4547289</v>
      </c>
      <c r="B192" s="9" t="s">
        <v>578</v>
      </c>
      <c r="C192" s="8" t="s">
        <v>31</v>
      </c>
    </row>
    <row r="193" spans="1:3" x14ac:dyDescent="0.25">
      <c r="A193" s="8">
        <v>4547290</v>
      </c>
      <c r="B193" s="9" t="s">
        <v>579</v>
      </c>
      <c r="C193" s="8" t="s">
        <v>31</v>
      </c>
    </row>
    <row r="194" spans="1:3" x14ac:dyDescent="0.25">
      <c r="A194" s="8">
        <v>4547291</v>
      </c>
      <c r="B194" s="9" t="s">
        <v>580</v>
      </c>
      <c r="C194" s="8" t="s">
        <v>31</v>
      </c>
    </row>
    <row r="195" spans="1:3" x14ac:dyDescent="0.25">
      <c r="A195" s="8">
        <v>4547292</v>
      </c>
      <c r="B195" s="9" t="s">
        <v>581</v>
      </c>
      <c r="C195" s="8" t="s">
        <v>31</v>
      </c>
    </row>
    <row r="196" spans="1:3" x14ac:dyDescent="0.25">
      <c r="A196" s="8">
        <v>4547293</v>
      </c>
      <c r="B196" s="9" t="s">
        <v>582</v>
      </c>
      <c r="C196" s="8" t="s">
        <v>31</v>
      </c>
    </row>
    <row r="197" spans="1:3" x14ac:dyDescent="0.25">
      <c r="A197" s="8">
        <v>4547295</v>
      </c>
      <c r="B197" s="9" t="s">
        <v>34</v>
      </c>
      <c r="C197" s="8" t="s">
        <v>31</v>
      </c>
    </row>
    <row r="198" spans="1:3" x14ac:dyDescent="0.25">
      <c r="A198" s="8">
        <v>4547298</v>
      </c>
      <c r="B198" s="9" t="s">
        <v>583</v>
      </c>
      <c r="C198" s="8" t="s">
        <v>31</v>
      </c>
    </row>
    <row r="199" spans="1:3" x14ac:dyDescent="0.25">
      <c r="A199" s="8">
        <v>4547299</v>
      </c>
      <c r="B199" s="9" t="s">
        <v>584</v>
      </c>
      <c r="C199" s="8" t="s">
        <v>31</v>
      </c>
    </row>
    <row r="200" spans="1:3" x14ac:dyDescent="0.25">
      <c r="A200" s="8">
        <v>4547300</v>
      </c>
      <c r="B200" s="9" t="s">
        <v>35</v>
      </c>
      <c r="C200" s="8" t="s">
        <v>31</v>
      </c>
    </row>
    <row r="201" spans="1:3" x14ac:dyDescent="0.25">
      <c r="A201" s="8">
        <v>4547301</v>
      </c>
      <c r="B201" s="9" t="s">
        <v>585</v>
      </c>
      <c r="C201" s="8" t="s">
        <v>26</v>
      </c>
    </row>
    <row r="202" spans="1:3" x14ac:dyDescent="0.25">
      <c r="A202" s="8">
        <v>4547302</v>
      </c>
      <c r="B202" s="9" t="s">
        <v>586</v>
      </c>
      <c r="C202" s="8" t="s">
        <v>31</v>
      </c>
    </row>
    <row r="203" spans="1:3" x14ac:dyDescent="0.25">
      <c r="A203" s="8">
        <v>4547303</v>
      </c>
      <c r="B203" s="9" t="s">
        <v>587</v>
      </c>
      <c r="C203" s="8" t="s">
        <v>31</v>
      </c>
    </row>
    <row r="204" spans="1:3" x14ac:dyDescent="0.25">
      <c r="A204" s="8">
        <v>4547304</v>
      </c>
      <c r="B204" s="9" t="s">
        <v>588</v>
      </c>
      <c r="C204" s="8" t="s">
        <v>31</v>
      </c>
    </row>
    <row r="205" spans="1:3" x14ac:dyDescent="0.25">
      <c r="A205" s="8">
        <v>4547305</v>
      </c>
      <c r="B205" s="9" t="s">
        <v>589</v>
      </c>
      <c r="C205" s="8" t="s">
        <v>31</v>
      </c>
    </row>
    <row r="206" spans="1:3" x14ac:dyDescent="0.25">
      <c r="A206" s="8">
        <v>4547306</v>
      </c>
      <c r="B206" s="9" t="s">
        <v>590</v>
      </c>
      <c r="C206" s="8" t="s">
        <v>31</v>
      </c>
    </row>
    <row r="207" spans="1:3" x14ac:dyDescent="0.25">
      <c r="A207" s="8">
        <v>4547307</v>
      </c>
      <c r="B207" s="9" t="s">
        <v>591</v>
      </c>
      <c r="C207" s="8" t="s">
        <v>31</v>
      </c>
    </row>
    <row r="208" spans="1:3" x14ac:dyDescent="0.25">
      <c r="A208" s="8">
        <v>4547308</v>
      </c>
      <c r="B208" s="9" t="s">
        <v>592</v>
      </c>
      <c r="C208" s="8" t="s">
        <v>31</v>
      </c>
    </row>
    <row r="209" spans="1:3" x14ac:dyDescent="0.25">
      <c r="A209" s="8">
        <v>4547309</v>
      </c>
      <c r="B209" s="9" t="s">
        <v>593</v>
      </c>
      <c r="C209" s="8" t="s">
        <v>31</v>
      </c>
    </row>
    <row r="210" spans="1:3" x14ac:dyDescent="0.25">
      <c r="A210" s="8">
        <v>4547310</v>
      </c>
      <c r="B210" s="9" t="s">
        <v>594</v>
      </c>
      <c r="C210" s="8" t="s">
        <v>31</v>
      </c>
    </row>
    <row r="211" spans="1:3" x14ac:dyDescent="0.25">
      <c r="A211" s="8">
        <v>4547311</v>
      </c>
      <c r="B211" s="9" t="s">
        <v>595</v>
      </c>
      <c r="C211" s="8" t="s">
        <v>31</v>
      </c>
    </row>
    <row r="212" spans="1:3" x14ac:dyDescent="0.25">
      <c r="A212" s="8">
        <v>4547386</v>
      </c>
      <c r="B212" s="9" t="s">
        <v>596</v>
      </c>
      <c r="C212" s="8" t="s">
        <v>26</v>
      </c>
    </row>
    <row r="213" spans="1:3" x14ac:dyDescent="0.25">
      <c r="A213" s="8">
        <v>4549538</v>
      </c>
      <c r="B213" s="9" t="s">
        <v>597</v>
      </c>
      <c r="C213" s="8" t="s">
        <v>26</v>
      </c>
    </row>
    <row r="214" spans="1:3" x14ac:dyDescent="0.25">
      <c r="A214" s="8">
        <v>4549592</v>
      </c>
      <c r="B214" s="9" t="s">
        <v>598</v>
      </c>
      <c r="C214" s="8" t="s">
        <v>28</v>
      </c>
    </row>
    <row r="215" spans="1:3" x14ac:dyDescent="0.25">
      <c r="A215" s="8">
        <v>4549742</v>
      </c>
      <c r="B215" s="9" t="s">
        <v>599</v>
      </c>
      <c r="C215" s="8" t="s">
        <v>26</v>
      </c>
    </row>
    <row r="216" spans="1:3" x14ac:dyDescent="0.25">
      <c r="A216" s="8">
        <v>4549744</v>
      </c>
      <c r="B216" s="9" t="s">
        <v>600</v>
      </c>
      <c r="C216" s="8" t="s">
        <v>31</v>
      </c>
    </row>
    <row r="217" spans="1:3" x14ac:dyDescent="0.25">
      <c r="A217" s="8">
        <v>4549745</v>
      </c>
      <c r="B217" s="9" t="s">
        <v>36</v>
      </c>
      <c r="C217" s="8" t="s">
        <v>31</v>
      </c>
    </row>
    <row r="218" spans="1:3" x14ac:dyDescent="0.25">
      <c r="A218" s="8">
        <v>4549747</v>
      </c>
      <c r="B218" s="9" t="s">
        <v>601</v>
      </c>
      <c r="C218" s="8" t="s">
        <v>28</v>
      </c>
    </row>
    <row r="219" spans="1:3" x14ac:dyDescent="0.25">
      <c r="A219" s="8">
        <v>4551813</v>
      </c>
      <c r="B219" s="9" t="s">
        <v>602</v>
      </c>
      <c r="C219" s="8" t="s">
        <v>26</v>
      </c>
    </row>
    <row r="220" spans="1:3" x14ac:dyDescent="0.25">
      <c r="A220" s="8">
        <v>4554052</v>
      </c>
      <c r="B220" s="9" t="s">
        <v>603</v>
      </c>
      <c r="C220" s="8" t="s">
        <v>30</v>
      </c>
    </row>
    <row r="221" spans="1:3" x14ac:dyDescent="0.25">
      <c r="A221" s="8">
        <v>4554063</v>
      </c>
      <c r="B221" s="9" t="s">
        <v>604</v>
      </c>
      <c r="C221" s="8" t="s">
        <v>26</v>
      </c>
    </row>
    <row r="222" spans="1:3" x14ac:dyDescent="0.25">
      <c r="A222" s="8">
        <v>4555433</v>
      </c>
      <c r="B222" s="9" t="s">
        <v>356</v>
      </c>
      <c r="C222" s="8" t="s">
        <v>26</v>
      </c>
    </row>
    <row r="223" spans="1:3" x14ac:dyDescent="0.25">
      <c r="A223" s="8">
        <v>4558465</v>
      </c>
      <c r="B223" s="9" t="s">
        <v>605</v>
      </c>
      <c r="C223" s="8" t="s">
        <v>26</v>
      </c>
    </row>
    <row r="224" spans="1:3" x14ac:dyDescent="0.25">
      <c r="A224" s="8">
        <v>4558466</v>
      </c>
      <c r="B224" s="9" t="s">
        <v>606</v>
      </c>
      <c r="C224" s="8" t="s">
        <v>26</v>
      </c>
    </row>
    <row r="225" spans="1:3" x14ac:dyDescent="0.25">
      <c r="A225" s="8">
        <v>4558738</v>
      </c>
      <c r="B225" s="9" t="s">
        <v>607</v>
      </c>
      <c r="C225" s="8" t="s">
        <v>26</v>
      </c>
    </row>
    <row r="226" spans="1:3" x14ac:dyDescent="0.25">
      <c r="A226" s="8">
        <v>4558740</v>
      </c>
      <c r="B226" s="9" t="s">
        <v>608</v>
      </c>
      <c r="C226" s="8" t="s">
        <v>26</v>
      </c>
    </row>
    <row r="227" spans="1:3" x14ac:dyDescent="0.25">
      <c r="A227" s="8">
        <v>4558923</v>
      </c>
      <c r="B227" s="9" t="s">
        <v>609</v>
      </c>
      <c r="C227" s="8" t="s">
        <v>26</v>
      </c>
    </row>
    <row r="228" spans="1:3" x14ac:dyDescent="0.25">
      <c r="A228" s="8">
        <v>4558924</v>
      </c>
      <c r="B228" s="9" t="s">
        <v>610</v>
      </c>
      <c r="C228" s="8" t="s">
        <v>26</v>
      </c>
    </row>
    <row r="229" spans="1:3" x14ac:dyDescent="0.25">
      <c r="A229" s="8">
        <v>4558927</v>
      </c>
      <c r="B229" s="9" t="s">
        <v>611</v>
      </c>
      <c r="C229" s="8" t="s">
        <v>31</v>
      </c>
    </row>
    <row r="230" spans="1:3" x14ac:dyDescent="0.25">
      <c r="A230" s="8">
        <v>4558928</v>
      </c>
      <c r="B230" s="9" t="s">
        <v>612</v>
      </c>
      <c r="C230" s="8" t="s">
        <v>31</v>
      </c>
    </row>
    <row r="231" spans="1:3" x14ac:dyDescent="0.25">
      <c r="A231" s="8">
        <v>4558929</v>
      </c>
      <c r="B231" s="9" t="s">
        <v>613</v>
      </c>
      <c r="C231" s="8" t="s">
        <v>26</v>
      </c>
    </row>
    <row r="232" spans="1:3" x14ac:dyDescent="0.25">
      <c r="A232" s="8">
        <v>4561832</v>
      </c>
      <c r="B232" s="9" t="s">
        <v>614</v>
      </c>
      <c r="C232" s="8" t="s">
        <v>26</v>
      </c>
    </row>
    <row r="233" spans="1:3" x14ac:dyDescent="0.25">
      <c r="A233" s="8">
        <v>4562458</v>
      </c>
      <c r="B233" s="9" t="s">
        <v>615</v>
      </c>
      <c r="C233" s="8" t="s">
        <v>26</v>
      </c>
    </row>
    <row r="234" spans="1:3" x14ac:dyDescent="0.25">
      <c r="A234" s="8">
        <v>4562459</v>
      </c>
      <c r="B234" s="9" t="s">
        <v>616</v>
      </c>
      <c r="C234" s="8" t="s">
        <v>28</v>
      </c>
    </row>
    <row r="235" spans="1:3" x14ac:dyDescent="0.25">
      <c r="A235" s="8">
        <v>4562471</v>
      </c>
      <c r="B235" s="9" t="s">
        <v>617</v>
      </c>
      <c r="C235" s="8" t="s">
        <v>28</v>
      </c>
    </row>
    <row r="236" spans="1:3" x14ac:dyDescent="0.25">
      <c r="A236" s="8">
        <v>4562472</v>
      </c>
      <c r="B236" s="9" t="s">
        <v>618</v>
      </c>
      <c r="C236" s="8" t="s">
        <v>28</v>
      </c>
    </row>
    <row r="237" spans="1:3" x14ac:dyDescent="0.25">
      <c r="A237" s="8">
        <v>4570574</v>
      </c>
      <c r="B237" s="9" t="s">
        <v>619</v>
      </c>
      <c r="C237" s="8" t="s">
        <v>28</v>
      </c>
    </row>
    <row r="238" spans="1:3" x14ac:dyDescent="0.25">
      <c r="A238" s="8">
        <v>4572772</v>
      </c>
      <c r="B238" s="9" t="s">
        <v>620</v>
      </c>
      <c r="C238" s="8" t="s">
        <v>26</v>
      </c>
    </row>
    <row r="239" spans="1:3" x14ac:dyDescent="0.25">
      <c r="A239" s="8">
        <v>4573562</v>
      </c>
      <c r="B239" s="9" t="s">
        <v>621</v>
      </c>
      <c r="C239" s="8" t="s">
        <v>26</v>
      </c>
    </row>
    <row r="240" spans="1:3" x14ac:dyDescent="0.25">
      <c r="A240" s="8">
        <v>4573569</v>
      </c>
      <c r="B240" s="9" t="s">
        <v>622</v>
      </c>
      <c r="C240" s="8" t="s">
        <v>26</v>
      </c>
    </row>
    <row r="241" spans="1:3" x14ac:dyDescent="0.25">
      <c r="A241" s="8">
        <v>4574294</v>
      </c>
      <c r="B241" s="9" t="s">
        <v>623</v>
      </c>
      <c r="C241" s="8" t="s">
        <v>26</v>
      </c>
    </row>
    <row r="242" spans="1:3" x14ac:dyDescent="0.25">
      <c r="A242" s="8">
        <v>4574295</v>
      </c>
      <c r="B242" s="9" t="s">
        <v>624</v>
      </c>
      <c r="C242" s="8" t="s">
        <v>26</v>
      </c>
    </row>
    <row r="243" spans="1:3" x14ac:dyDescent="0.25">
      <c r="A243" s="8">
        <v>4574991</v>
      </c>
      <c r="B243" s="9" t="s">
        <v>625</v>
      </c>
      <c r="C243" s="8" t="s">
        <v>27</v>
      </c>
    </row>
    <row r="244" spans="1:3" x14ac:dyDescent="0.25">
      <c r="A244" s="8">
        <v>4574995</v>
      </c>
      <c r="B244" s="9" t="s">
        <v>626</v>
      </c>
      <c r="C244" s="8" t="s">
        <v>26</v>
      </c>
    </row>
    <row r="245" spans="1:3" x14ac:dyDescent="0.25">
      <c r="A245" s="8">
        <v>4577233</v>
      </c>
      <c r="B245" s="9" t="s">
        <v>530</v>
      </c>
      <c r="C245" s="8" t="s">
        <v>26</v>
      </c>
    </row>
    <row r="246" spans="1:3" x14ac:dyDescent="0.25">
      <c r="A246" s="8">
        <v>4577234</v>
      </c>
      <c r="B246" s="9" t="s">
        <v>530</v>
      </c>
      <c r="C246" s="8" t="s">
        <v>26</v>
      </c>
    </row>
    <row r="247" spans="1:3" x14ac:dyDescent="0.25">
      <c r="A247" s="8">
        <v>4579423</v>
      </c>
      <c r="B247" s="9" t="s">
        <v>80</v>
      </c>
      <c r="C247" s="8" t="s">
        <v>31</v>
      </c>
    </row>
    <row r="248" spans="1:3" x14ac:dyDescent="0.25">
      <c r="A248" s="8">
        <v>4581161</v>
      </c>
      <c r="B248" s="9" t="s">
        <v>627</v>
      </c>
      <c r="C248" s="8" t="s">
        <v>26</v>
      </c>
    </row>
    <row r="249" spans="1:3" x14ac:dyDescent="0.25">
      <c r="A249" s="8">
        <v>4582212</v>
      </c>
      <c r="B249" s="9" t="s">
        <v>628</v>
      </c>
      <c r="C249" s="8" t="s">
        <v>31</v>
      </c>
    </row>
    <row r="250" spans="1:3" x14ac:dyDescent="0.25">
      <c r="A250" s="8">
        <v>4582434</v>
      </c>
      <c r="B250" s="9" t="s">
        <v>629</v>
      </c>
      <c r="C250" s="8" t="s">
        <v>28</v>
      </c>
    </row>
    <row r="251" spans="1:3" x14ac:dyDescent="0.25">
      <c r="A251" s="8">
        <v>4582811</v>
      </c>
      <c r="B251" s="9" t="s">
        <v>630</v>
      </c>
      <c r="C251" s="8" t="s">
        <v>28</v>
      </c>
    </row>
    <row r="252" spans="1:3" x14ac:dyDescent="0.25">
      <c r="A252" s="8">
        <v>4583271</v>
      </c>
      <c r="B252" s="9" t="s">
        <v>631</v>
      </c>
      <c r="C252" s="8" t="s">
        <v>26</v>
      </c>
    </row>
    <row r="253" spans="1:3" x14ac:dyDescent="0.25">
      <c r="A253" s="8">
        <v>4583768</v>
      </c>
      <c r="B253" s="9" t="s">
        <v>632</v>
      </c>
      <c r="C253" s="8" t="s">
        <v>26</v>
      </c>
    </row>
    <row r="254" spans="1:3" x14ac:dyDescent="0.25">
      <c r="A254" s="8">
        <v>4584354</v>
      </c>
      <c r="B254" s="9" t="s">
        <v>494</v>
      </c>
      <c r="C254" s="8" t="s">
        <v>28</v>
      </c>
    </row>
    <row r="255" spans="1:3" x14ac:dyDescent="0.25">
      <c r="A255" s="8">
        <v>4584412</v>
      </c>
      <c r="B255" s="9" t="s">
        <v>633</v>
      </c>
      <c r="C255" s="8" t="s">
        <v>26</v>
      </c>
    </row>
    <row r="256" spans="1:3" x14ac:dyDescent="0.25">
      <c r="A256" s="8">
        <v>4584636</v>
      </c>
      <c r="B256" s="9" t="s">
        <v>634</v>
      </c>
      <c r="C256" s="8" t="s">
        <v>28</v>
      </c>
    </row>
    <row r="257" spans="1:3" x14ac:dyDescent="0.25">
      <c r="A257" s="8">
        <v>4585027</v>
      </c>
      <c r="B257" s="9" t="s">
        <v>635</v>
      </c>
      <c r="C257" s="8" t="s">
        <v>26</v>
      </c>
    </row>
    <row r="258" spans="1:3" x14ac:dyDescent="0.25">
      <c r="A258" s="8">
        <v>4585276</v>
      </c>
      <c r="B258" s="9" t="s">
        <v>636</v>
      </c>
      <c r="C258" s="8" t="s">
        <v>28</v>
      </c>
    </row>
    <row r="259" spans="1:3" x14ac:dyDescent="0.25">
      <c r="A259" s="8">
        <v>4587680</v>
      </c>
      <c r="B259" s="9" t="s">
        <v>637</v>
      </c>
      <c r="C259" s="8" t="s">
        <v>26</v>
      </c>
    </row>
    <row r="260" spans="1:3" x14ac:dyDescent="0.25">
      <c r="A260" s="8">
        <v>4589329</v>
      </c>
      <c r="B260" s="9" t="s">
        <v>638</v>
      </c>
      <c r="C260" s="8" t="s">
        <v>26</v>
      </c>
    </row>
    <row r="261" spans="1:3" x14ac:dyDescent="0.25">
      <c r="A261" s="8">
        <v>4589331</v>
      </c>
      <c r="B261" s="9" t="s">
        <v>639</v>
      </c>
      <c r="C261" s="8" t="s">
        <v>27</v>
      </c>
    </row>
    <row r="262" spans="1:3" x14ac:dyDescent="0.25">
      <c r="A262" s="8">
        <v>4589881</v>
      </c>
      <c r="B262" s="9" t="s">
        <v>640</v>
      </c>
      <c r="C262" s="8" t="s">
        <v>26</v>
      </c>
    </row>
    <row r="263" spans="1:3" x14ac:dyDescent="0.25">
      <c r="A263" s="8">
        <v>4590428</v>
      </c>
      <c r="B263" s="9" t="s">
        <v>641</v>
      </c>
      <c r="C263" s="8" t="s">
        <v>28</v>
      </c>
    </row>
    <row r="264" spans="1:3" x14ac:dyDescent="0.25">
      <c r="A264" s="8">
        <v>4590430</v>
      </c>
      <c r="B264" s="9" t="s">
        <v>642</v>
      </c>
      <c r="C264" s="8" t="s">
        <v>28</v>
      </c>
    </row>
    <row r="265" spans="1:3" x14ac:dyDescent="0.25">
      <c r="A265" s="8">
        <v>4590435</v>
      </c>
      <c r="B265" s="9" t="s">
        <v>643</v>
      </c>
      <c r="C265" s="8" t="s">
        <v>28</v>
      </c>
    </row>
    <row r="266" spans="1:3" x14ac:dyDescent="0.25">
      <c r="A266" s="8">
        <v>4590436</v>
      </c>
      <c r="B266" s="9" t="s">
        <v>644</v>
      </c>
      <c r="C266" s="8" t="s">
        <v>31</v>
      </c>
    </row>
    <row r="267" spans="1:3" x14ac:dyDescent="0.25">
      <c r="A267" s="8">
        <v>4590441</v>
      </c>
      <c r="B267" s="9" t="s">
        <v>645</v>
      </c>
      <c r="C267" s="8" t="s">
        <v>26</v>
      </c>
    </row>
    <row r="268" spans="1:3" x14ac:dyDescent="0.25">
      <c r="A268" s="8">
        <v>4590452</v>
      </c>
      <c r="B268" s="9" t="s">
        <v>646</v>
      </c>
      <c r="C268" s="8" t="s">
        <v>31</v>
      </c>
    </row>
    <row r="269" spans="1:3" x14ac:dyDescent="0.25">
      <c r="A269" s="8">
        <v>4590457</v>
      </c>
      <c r="B269" s="9" t="s">
        <v>647</v>
      </c>
      <c r="C269" s="8" t="s">
        <v>26</v>
      </c>
    </row>
    <row r="270" spans="1:3" x14ac:dyDescent="0.25">
      <c r="A270" s="8">
        <v>4590458</v>
      </c>
      <c r="B270" s="9" t="s">
        <v>648</v>
      </c>
      <c r="C270" s="8" t="s">
        <v>28</v>
      </c>
    </row>
    <row r="271" spans="1:3" x14ac:dyDescent="0.25">
      <c r="A271" s="8">
        <v>4590459</v>
      </c>
      <c r="B271" s="9" t="s">
        <v>649</v>
      </c>
      <c r="C271" s="8" t="s">
        <v>26</v>
      </c>
    </row>
    <row r="272" spans="1:3" x14ac:dyDescent="0.25">
      <c r="A272" s="8">
        <v>4590461</v>
      </c>
      <c r="B272" s="9" t="s">
        <v>650</v>
      </c>
      <c r="C272" s="8" t="s">
        <v>26</v>
      </c>
    </row>
    <row r="273" spans="1:3" x14ac:dyDescent="0.25">
      <c r="A273" s="8">
        <v>4590489</v>
      </c>
      <c r="B273" s="9" t="s">
        <v>651</v>
      </c>
      <c r="C273" s="8" t="s">
        <v>26</v>
      </c>
    </row>
    <row r="274" spans="1:3" x14ac:dyDescent="0.25">
      <c r="A274" s="8">
        <v>4591081</v>
      </c>
      <c r="B274" s="9" t="s">
        <v>652</v>
      </c>
      <c r="C274" s="8" t="s">
        <v>28</v>
      </c>
    </row>
    <row r="275" spans="1:3" x14ac:dyDescent="0.25">
      <c r="A275" s="8">
        <v>4591083</v>
      </c>
      <c r="B275" s="9" t="s">
        <v>653</v>
      </c>
      <c r="C275" s="8" t="s">
        <v>26</v>
      </c>
    </row>
    <row r="276" spans="1:3" x14ac:dyDescent="0.25">
      <c r="A276" s="8">
        <v>4591472</v>
      </c>
      <c r="B276" s="9" t="s">
        <v>654</v>
      </c>
      <c r="C276" s="8" t="s">
        <v>28</v>
      </c>
    </row>
    <row r="277" spans="1:3" x14ac:dyDescent="0.25">
      <c r="A277" s="8">
        <v>4591698</v>
      </c>
      <c r="B277" s="9" t="s">
        <v>655</v>
      </c>
      <c r="C277" s="8" t="s">
        <v>28</v>
      </c>
    </row>
    <row r="278" spans="1:3" x14ac:dyDescent="0.25">
      <c r="A278" s="8">
        <v>4591707</v>
      </c>
      <c r="B278" s="9" t="s">
        <v>656</v>
      </c>
      <c r="C278" s="8" t="s">
        <v>26</v>
      </c>
    </row>
    <row r="279" spans="1:3" x14ac:dyDescent="0.25">
      <c r="A279" s="8">
        <v>4591805</v>
      </c>
      <c r="B279" s="9" t="s">
        <v>657</v>
      </c>
      <c r="C279" s="8" t="s">
        <v>26</v>
      </c>
    </row>
    <row r="280" spans="1:3" x14ac:dyDescent="0.25">
      <c r="A280" s="8">
        <v>4591813</v>
      </c>
      <c r="B280" s="9" t="s">
        <v>658</v>
      </c>
      <c r="C280" s="8" t="s">
        <v>26</v>
      </c>
    </row>
    <row r="281" spans="1:3" x14ac:dyDescent="0.25">
      <c r="A281" s="8">
        <v>4591824</v>
      </c>
      <c r="B281" s="9" t="s">
        <v>659</v>
      </c>
      <c r="C281" s="8" t="s">
        <v>26</v>
      </c>
    </row>
    <row r="282" spans="1:3" x14ac:dyDescent="0.25">
      <c r="A282" s="8">
        <v>4592151</v>
      </c>
      <c r="B282" s="9" t="s">
        <v>41</v>
      </c>
      <c r="C282" s="8" t="s">
        <v>26</v>
      </c>
    </row>
    <row r="283" spans="1:3" x14ac:dyDescent="0.25">
      <c r="A283" s="8">
        <v>4592152</v>
      </c>
      <c r="B283" s="9" t="s">
        <v>660</v>
      </c>
      <c r="C283" s="8" t="s">
        <v>26</v>
      </c>
    </row>
    <row r="284" spans="1:3" x14ac:dyDescent="0.25">
      <c r="A284" s="8">
        <v>4592195</v>
      </c>
      <c r="B284" s="9" t="s">
        <v>661</v>
      </c>
      <c r="C284" s="8" t="s">
        <v>28</v>
      </c>
    </row>
    <row r="285" spans="1:3" x14ac:dyDescent="0.25">
      <c r="A285" s="8">
        <v>4592196</v>
      </c>
      <c r="B285" s="9" t="s">
        <v>662</v>
      </c>
      <c r="C285" s="8" t="s">
        <v>28</v>
      </c>
    </row>
    <row r="286" spans="1:3" x14ac:dyDescent="0.25">
      <c r="A286" s="8">
        <v>4592303</v>
      </c>
      <c r="B286" s="9" t="s">
        <v>663</v>
      </c>
      <c r="C286" s="8" t="s">
        <v>28</v>
      </c>
    </row>
    <row r="287" spans="1:3" x14ac:dyDescent="0.25">
      <c r="A287" s="8">
        <v>4592553</v>
      </c>
      <c r="B287" s="9" t="s">
        <v>664</v>
      </c>
      <c r="C287" s="8" t="s">
        <v>28</v>
      </c>
    </row>
    <row r="288" spans="1:3" x14ac:dyDescent="0.25">
      <c r="A288" s="8">
        <v>4592555</v>
      </c>
      <c r="B288" s="9" t="s">
        <v>665</v>
      </c>
      <c r="C288" s="8" t="s">
        <v>28</v>
      </c>
    </row>
    <row r="289" spans="1:3" x14ac:dyDescent="0.25">
      <c r="A289" s="8">
        <v>4593061</v>
      </c>
      <c r="B289" s="9" t="s">
        <v>666</v>
      </c>
      <c r="C289" s="8" t="s">
        <v>26</v>
      </c>
    </row>
    <row r="290" spans="1:3" x14ac:dyDescent="0.25">
      <c r="A290" s="8">
        <v>4608233</v>
      </c>
      <c r="B290" s="9" t="s">
        <v>667</v>
      </c>
      <c r="C290" s="8" t="s">
        <v>26</v>
      </c>
    </row>
    <row r="291" spans="1:3" x14ac:dyDescent="0.25">
      <c r="A291" s="8">
        <v>4608400</v>
      </c>
      <c r="B291" s="9" t="s">
        <v>661</v>
      </c>
      <c r="C291" s="8" t="s">
        <v>28</v>
      </c>
    </row>
    <row r="292" spans="1:3" x14ac:dyDescent="0.25">
      <c r="A292" s="8">
        <v>4608402</v>
      </c>
      <c r="B292" s="9" t="s">
        <v>668</v>
      </c>
      <c r="C292" s="8" t="s">
        <v>28</v>
      </c>
    </row>
    <row r="293" spans="1:3" x14ac:dyDescent="0.25">
      <c r="A293" s="8">
        <v>4608416</v>
      </c>
      <c r="B293" s="9" t="s">
        <v>669</v>
      </c>
      <c r="C293" s="8" t="s">
        <v>28</v>
      </c>
    </row>
    <row r="294" spans="1:3" x14ac:dyDescent="0.25">
      <c r="A294" s="8">
        <v>4608476</v>
      </c>
      <c r="B294" s="9" t="s">
        <v>670</v>
      </c>
      <c r="C294" s="8" t="s">
        <v>28</v>
      </c>
    </row>
    <row r="295" spans="1:3" x14ac:dyDescent="0.25">
      <c r="A295" s="8">
        <v>4608478</v>
      </c>
      <c r="B295" s="9" t="s">
        <v>671</v>
      </c>
      <c r="C295" s="8" t="s">
        <v>28</v>
      </c>
    </row>
    <row r="296" spans="1:3" x14ac:dyDescent="0.25">
      <c r="A296" s="8">
        <v>4608627</v>
      </c>
      <c r="B296" s="9" t="s">
        <v>672</v>
      </c>
      <c r="C296" s="8" t="s">
        <v>28</v>
      </c>
    </row>
    <row r="297" spans="1:3" x14ac:dyDescent="0.25">
      <c r="A297" s="8">
        <v>4608927</v>
      </c>
      <c r="B297" s="9" t="s">
        <v>673</v>
      </c>
      <c r="C297" s="8" t="s">
        <v>30</v>
      </c>
    </row>
    <row r="298" spans="1:3" x14ac:dyDescent="0.25">
      <c r="A298" s="8">
        <v>4608928</v>
      </c>
      <c r="B298" s="9" t="s">
        <v>674</v>
      </c>
      <c r="C298" s="8" t="s">
        <v>30</v>
      </c>
    </row>
    <row r="299" spans="1:3" x14ac:dyDescent="0.25">
      <c r="A299" s="8">
        <v>4610301</v>
      </c>
      <c r="B299" s="9" t="s">
        <v>675</v>
      </c>
      <c r="C299" s="8" t="s">
        <v>31</v>
      </c>
    </row>
    <row r="300" spans="1:3" x14ac:dyDescent="0.25">
      <c r="A300" s="8">
        <v>4610345</v>
      </c>
      <c r="B300" s="9" t="s">
        <v>676</v>
      </c>
      <c r="C300" s="8" t="s">
        <v>28</v>
      </c>
    </row>
    <row r="301" spans="1:3" x14ac:dyDescent="0.25">
      <c r="A301" s="8">
        <v>4611023</v>
      </c>
      <c r="B301" s="9" t="s">
        <v>677</v>
      </c>
      <c r="C301" s="8" t="s">
        <v>26</v>
      </c>
    </row>
    <row r="302" spans="1:3" x14ac:dyDescent="0.25">
      <c r="A302" s="8">
        <v>4611025</v>
      </c>
      <c r="B302" s="9" t="s">
        <v>677</v>
      </c>
      <c r="C302" s="8" t="s">
        <v>26</v>
      </c>
    </row>
    <row r="303" spans="1:3" x14ac:dyDescent="0.25">
      <c r="A303" s="8">
        <v>4611401</v>
      </c>
      <c r="B303" s="9" t="s">
        <v>678</v>
      </c>
      <c r="C303" s="8" t="s">
        <v>28</v>
      </c>
    </row>
    <row r="304" spans="1:3" x14ac:dyDescent="0.25">
      <c r="A304" s="8">
        <v>4612026</v>
      </c>
      <c r="B304" s="9" t="s">
        <v>679</v>
      </c>
      <c r="C304" s="8" t="s">
        <v>28</v>
      </c>
    </row>
    <row r="305" spans="1:3" x14ac:dyDescent="0.25">
      <c r="A305" s="8">
        <v>4613260</v>
      </c>
      <c r="B305" s="9" t="s">
        <v>680</v>
      </c>
      <c r="C305" s="8" t="s">
        <v>26</v>
      </c>
    </row>
    <row r="306" spans="1:3" x14ac:dyDescent="0.25">
      <c r="A306" s="8">
        <v>4614341</v>
      </c>
      <c r="B306" s="9" t="s">
        <v>630</v>
      </c>
      <c r="C306" s="8" t="s">
        <v>28</v>
      </c>
    </row>
    <row r="307" spans="1:3" x14ac:dyDescent="0.25">
      <c r="A307" s="8">
        <v>4614342</v>
      </c>
      <c r="B307" s="9" t="s">
        <v>642</v>
      </c>
      <c r="C307" s="8" t="s">
        <v>28</v>
      </c>
    </row>
    <row r="308" spans="1:3" x14ac:dyDescent="0.25">
      <c r="A308" s="8">
        <v>4614343</v>
      </c>
      <c r="B308" s="9" t="s">
        <v>681</v>
      </c>
      <c r="C308" s="8" t="s">
        <v>28</v>
      </c>
    </row>
    <row r="309" spans="1:3" x14ac:dyDescent="0.25">
      <c r="A309" s="8">
        <v>4614345</v>
      </c>
      <c r="B309" s="9" t="s">
        <v>682</v>
      </c>
      <c r="C309" s="8" t="s">
        <v>28</v>
      </c>
    </row>
    <row r="310" spans="1:3" x14ac:dyDescent="0.25">
      <c r="A310" s="8">
        <v>4614682</v>
      </c>
      <c r="B310" s="9" t="s">
        <v>683</v>
      </c>
      <c r="C310" s="8" t="s">
        <v>26</v>
      </c>
    </row>
    <row r="311" spans="1:3" x14ac:dyDescent="0.25">
      <c r="A311" s="8">
        <v>4616097</v>
      </c>
      <c r="B311" s="9" t="s">
        <v>684</v>
      </c>
      <c r="C311" s="8" t="s">
        <v>31</v>
      </c>
    </row>
    <row r="312" spans="1:3" x14ac:dyDescent="0.25">
      <c r="A312" s="8">
        <v>4616334</v>
      </c>
      <c r="B312" s="9" t="s">
        <v>685</v>
      </c>
      <c r="C312" s="8" t="s">
        <v>26</v>
      </c>
    </row>
    <row r="313" spans="1:3" x14ac:dyDescent="0.25">
      <c r="A313" s="8">
        <v>4616335</v>
      </c>
      <c r="B313" s="9" t="s">
        <v>686</v>
      </c>
      <c r="C313" s="8" t="s">
        <v>26</v>
      </c>
    </row>
    <row r="314" spans="1:3" x14ac:dyDescent="0.25">
      <c r="A314" s="8">
        <v>4630278</v>
      </c>
      <c r="B314" s="9" t="s">
        <v>687</v>
      </c>
      <c r="C314" s="8" t="s">
        <v>26</v>
      </c>
    </row>
    <row r="315" spans="1:3" x14ac:dyDescent="0.25">
      <c r="A315" s="8">
        <v>4630280</v>
      </c>
      <c r="B315" s="9" t="s">
        <v>42</v>
      </c>
      <c r="C315" s="8" t="s">
        <v>26</v>
      </c>
    </row>
    <row r="316" spans="1:3" x14ac:dyDescent="0.25">
      <c r="A316" s="8">
        <v>4631139</v>
      </c>
      <c r="B316" s="9" t="s">
        <v>688</v>
      </c>
      <c r="C316" s="8" t="s">
        <v>27</v>
      </c>
    </row>
    <row r="317" spans="1:3" x14ac:dyDescent="0.25">
      <c r="A317" s="8">
        <v>4631140</v>
      </c>
      <c r="B317" s="9" t="s">
        <v>689</v>
      </c>
      <c r="C317" s="8" t="s">
        <v>27</v>
      </c>
    </row>
    <row r="318" spans="1:3" x14ac:dyDescent="0.25">
      <c r="A318" s="8">
        <v>4631353</v>
      </c>
      <c r="B318" s="9" t="s">
        <v>690</v>
      </c>
      <c r="C318" s="8" t="s">
        <v>27</v>
      </c>
    </row>
    <row r="319" spans="1:3" x14ac:dyDescent="0.25">
      <c r="A319" s="8">
        <v>4631354</v>
      </c>
      <c r="B319" s="9" t="s">
        <v>691</v>
      </c>
      <c r="C319" s="8" t="s">
        <v>27</v>
      </c>
    </row>
    <row r="320" spans="1:3" x14ac:dyDescent="0.25">
      <c r="A320" s="8">
        <v>4631369</v>
      </c>
      <c r="B320" s="9" t="s">
        <v>692</v>
      </c>
      <c r="C320" s="8" t="s">
        <v>28</v>
      </c>
    </row>
    <row r="321" spans="1:3" x14ac:dyDescent="0.25">
      <c r="A321" s="8">
        <v>4631371</v>
      </c>
      <c r="B321" s="9" t="s">
        <v>693</v>
      </c>
      <c r="C321" s="8" t="s">
        <v>27</v>
      </c>
    </row>
    <row r="322" spans="1:3" x14ac:dyDescent="0.25">
      <c r="A322" s="8">
        <v>4631372</v>
      </c>
      <c r="B322" s="9" t="s">
        <v>694</v>
      </c>
      <c r="C322" s="8" t="s">
        <v>27</v>
      </c>
    </row>
    <row r="323" spans="1:3" x14ac:dyDescent="0.25">
      <c r="A323" s="8">
        <v>4631373</v>
      </c>
      <c r="B323" s="9" t="s">
        <v>695</v>
      </c>
      <c r="C323" s="8" t="s">
        <v>27</v>
      </c>
    </row>
    <row r="324" spans="1:3" x14ac:dyDescent="0.25">
      <c r="A324" s="8">
        <v>4633310</v>
      </c>
      <c r="B324" s="9" t="s">
        <v>696</v>
      </c>
      <c r="C324" s="8" t="s">
        <v>28</v>
      </c>
    </row>
    <row r="325" spans="1:3" x14ac:dyDescent="0.25">
      <c r="A325" s="8">
        <v>4635482</v>
      </c>
      <c r="B325" s="9" t="s">
        <v>697</v>
      </c>
      <c r="C325" s="8" t="s">
        <v>26</v>
      </c>
    </row>
    <row r="326" spans="1:3" x14ac:dyDescent="0.25">
      <c r="A326" s="8">
        <v>4635501</v>
      </c>
      <c r="B326" s="9" t="s">
        <v>698</v>
      </c>
      <c r="C326" s="8" t="s">
        <v>26</v>
      </c>
    </row>
    <row r="327" spans="1:3" x14ac:dyDescent="0.25">
      <c r="A327" s="8">
        <v>4637990</v>
      </c>
      <c r="B327" s="9" t="s">
        <v>699</v>
      </c>
      <c r="C327" s="8" t="s">
        <v>28</v>
      </c>
    </row>
    <row r="328" spans="1:3" x14ac:dyDescent="0.25">
      <c r="A328" s="8">
        <v>4638021</v>
      </c>
      <c r="B328" s="9" t="s">
        <v>700</v>
      </c>
      <c r="C328" s="8" t="s">
        <v>28</v>
      </c>
    </row>
    <row r="329" spans="1:3" x14ac:dyDescent="0.25">
      <c r="A329" s="8">
        <v>4638022</v>
      </c>
      <c r="B329" s="9" t="s">
        <v>700</v>
      </c>
      <c r="C329" s="8" t="s">
        <v>28</v>
      </c>
    </row>
    <row r="330" spans="1:3" x14ac:dyDescent="0.25">
      <c r="A330" s="8">
        <v>4638025</v>
      </c>
      <c r="B330" s="9" t="s">
        <v>701</v>
      </c>
      <c r="C330" s="8" t="s">
        <v>28</v>
      </c>
    </row>
    <row r="331" spans="1:3" x14ac:dyDescent="0.25">
      <c r="A331" s="8">
        <v>4638027</v>
      </c>
      <c r="B331" s="9" t="s">
        <v>702</v>
      </c>
      <c r="C331" s="8" t="s">
        <v>28</v>
      </c>
    </row>
    <row r="332" spans="1:3" x14ac:dyDescent="0.25">
      <c r="A332" s="8">
        <v>4638028</v>
      </c>
      <c r="B332" s="9" t="s">
        <v>703</v>
      </c>
      <c r="C332" s="8" t="s">
        <v>28</v>
      </c>
    </row>
    <row r="333" spans="1:3" x14ac:dyDescent="0.25">
      <c r="A333" s="8">
        <v>4639833</v>
      </c>
      <c r="B333" s="9" t="s">
        <v>704</v>
      </c>
      <c r="C333" s="8" t="s">
        <v>26</v>
      </c>
    </row>
    <row r="334" spans="1:3" x14ac:dyDescent="0.25">
      <c r="A334" s="8">
        <v>4644273</v>
      </c>
      <c r="B334" s="9" t="s">
        <v>705</v>
      </c>
      <c r="C334" s="8" t="s">
        <v>26</v>
      </c>
    </row>
    <row r="335" spans="1:3" x14ac:dyDescent="0.25">
      <c r="A335" s="8">
        <v>4644274</v>
      </c>
      <c r="B335" s="9" t="s">
        <v>706</v>
      </c>
      <c r="C335" s="8" t="s">
        <v>26</v>
      </c>
    </row>
    <row r="336" spans="1:3" x14ac:dyDescent="0.25">
      <c r="A336" s="8">
        <v>4647739</v>
      </c>
      <c r="B336" s="9" t="s">
        <v>707</v>
      </c>
      <c r="C336" s="8" t="s">
        <v>26</v>
      </c>
    </row>
    <row r="337" spans="1:3" x14ac:dyDescent="0.25">
      <c r="A337" s="8">
        <v>4647740</v>
      </c>
      <c r="B337" s="9" t="s">
        <v>708</v>
      </c>
      <c r="C337" s="8" t="s">
        <v>26</v>
      </c>
    </row>
    <row r="338" spans="1:3" x14ac:dyDescent="0.25">
      <c r="A338" s="8">
        <v>4648900</v>
      </c>
      <c r="B338" s="9" t="s">
        <v>709</v>
      </c>
      <c r="C338" s="8" t="s">
        <v>26</v>
      </c>
    </row>
    <row r="339" spans="1:3" x14ac:dyDescent="0.25">
      <c r="A339" s="8">
        <v>4649188</v>
      </c>
      <c r="B339" s="9" t="s">
        <v>710</v>
      </c>
      <c r="C339" s="8" t="s">
        <v>28</v>
      </c>
    </row>
    <row r="340" spans="1:3" x14ac:dyDescent="0.25">
      <c r="A340" s="8">
        <v>4649189</v>
      </c>
      <c r="B340" s="9" t="s">
        <v>711</v>
      </c>
      <c r="C340" s="8" t="s">
        <v>28</v>
      </c>
    </row>
    <row r="341" spans="1:3" x14ac:dyDescent="0.25">
      <c r="A341" s="8">
        <v>4649190</v>
      </c>
      <c r="B341" s="9" t="s">
        <v>712</v>
      </c>
      <c r="C341" s="8" t="s">
        <v>28</v>
      </c>
    </row>
    <row r="342" spans="1:3" x14ac:dyDescent="0.25">
      <c r="A342" s="8">
        <v>4650027</v>
      </c>
      <c r="B342" s="9" t="s">
        <v>216</v>
      </c>
      <c r="C342" s="8" t="s">
        <v>26</v>
      </c>
    </row>
    <row r="343" spans="1:3" x14ac:dyDescent="0.25">
      <c r="A343" s="8">
        <v>4650028</v>
      </c>
      <c r="B343" s="9" t="s">
        <v>215</v>
      </c>
      <c r="C343" s="8" t="s">
        <v>26</v>
      </c>
    </row>
    <row r="344" spans="1:3" x14ac:dyDescent="0.25">
      <c r="A344" s="8">
        <v>4650083</v>
      </c>
      <c r="B344" s="9" t="s">
        <v>713</v>
      </c>
      <c r="C344" s="8" t="s">
        <v>26</v>
      </c>
    </row>
    <row r="345" spans="1:3" x14ac:dyDescent="0.25">
      <c r="A345" s="8">
        <v>4650085</v>
      </c>
      <c r="B345" s="9" t="s">
        <v>714</v>
      </c>
      <c r="C345" s="8" t="s">
        <v>26</v>
      </c>
    </row>
    <row r="346" spans="1:3" x14ac:dyDescent="0.25">
      <c r="A346" s="8">
        <v>4650607</v>
      </c>
      <c r="B346" s="9" t="s">
        <v>715</v>
      </c>
      <c r="C346" s="8" t="s">
        <v>28</v>
      </c>
    </row>
    <row r="347" spans="1:3" x14ac:dyDescent="0.25">
      <c r="A347" s="8">
        <v>4652709</v>
      </c>
      <c r="B347" s="9" t="s">
        <v>716</v>
      </c>
      <c r="C347" s="8" t="s">
        <v>26</v>
      </c>
    </row>
    <row r="348" spans="1:3" x14ac:dyDescent="0.25">
      <c r="A348" s="8">
        <v>4653184</v>
      </c>
      <c r="B348" s="9" t="s">
        <v>717</v>
      </c>
      <c r="C348" s="8" t="s">
        <v>27</v>
      </c>
    </row>
    <row r="349" spans="1:3" x14ac:dyDescent="0.25">
      <c r="A349" s="8">
        <v>4656494</v>
      </c>
      <c r="B349" s="9" t="s">
        <v>718</v>
      </c>
      <c r="C349" s="8" t="s">
        <v>26</v>
      </c>
    </row>
    <row r="350" spans="1:3" x14ac:dyDescent="0.25">
      <c r="A350" s="8">
        <v>4656559</v>
      </c>
      <c r="B350" s="9" t="s">
        <v>719</v>
      </c>
      <c r="C350" s="8" t="s">
        <v>28</v>
      </c>
    </row>
    <row r="351" spans="1:3" x14ac:dyDescent="0.25">
      <c r="A351" s="8">
        <v>4656560</v>
      </c>
      <c r="B351" s="9" t="s">
        <v>720</v>
      </c>
      <c r="C351" s="8" t="s">
        <v>28</v>
      </c>
    </row>
    <row r="352" spans="1:3" x14ac:dyDescent="0.25">
      <c r="A352" s="8">
        <v>4656571</v>
      </c>
      <c r="B352" s="9" t="s">
        <v>721</v>
      </c>
      <c r="C352" s="8" t="s">
        <v>28</v>
      </c>
    </row>
    <row r="353" spans="1:3" x14ac:dyDescent="0.25">
      <c r="A353" s="8">
        <v>4656580</v>
      </c>
      <c r="B353" s="9" t="s">
        <v>722</v>
      </c>
      <c r="C353" s="8" t="s">
        <v>28</v>
      </c>
    </row>
    <row r="354" spans="1:3" x14ac:dyDescent="0.25">
      <c r="A354" s="8">
        <v>4656615</v>
      </c>
      <c r="B354" s="9" t="s">
        <v>723</v>
      </c>
      <c r="C354" s="8" t="s">
        <v>28</v>
      </c>
    </row>
    <row r="355" spans="1:3" x14ac:dyDescent="0.25">
      <c r="A355" s="8">
        <v>4656616</v>
      </c>
      <c r="B355" s="9" t="s">
        <v>724</v>
      </c>
      <c r="C355" s="8" t="s">
        <v>28</v>
      </c>
    </row>
    <row r="356" spans="1:3" x14ac:dyDescent="0.25">
      <c r="A356" s="8">
        <v>4656617</v>
      </c>
      <c r="B356" s="9" t="s">
        <v>725</v>
      </c>
      <c r="C356" s="8" t="s">
        <v>28</v>
      </c>
    </row>
    <row r="357" spans="1:3" x14ac:dyDescent="0.25">
      <c r="A357" s="8">
        <v>4657782</v>
      </c>
      <c r="B357" s="9" t="s">
        <v>726</v>
      </c>
      <c r="C357" s="8" t="s">
        <v>28</v>
      </c>
    </row>
    <row r="358" spans="1:3" x14ac:dyDescent="0.25">
      <c r="A358" s="8">
        <v>4659593</v>
      </c>
      <c r="B358" s="9" t="s">
        <v>727</v>
      </c>
      <c r="C358" s="8" t="s">
        <v>31</v>
      </c>
    </row>
    <row r="359" spans="1:3" x14ac:dyDescent="0.25">
      <c r="A359" s="8">
        <v>4659856</v>
      </c>
      <c r="B359" s="9" t="s">
        <v>728</v>
      </c>
      <c r="C359" s="8" t="s">
        <v>28</v>
      </c>
    </row>
    <row r="360" spans="1:3" x14ac:dyDescent="0.25">
      <c r="A360" s="8">
        <v>4660197</v>
      </c>
      <c r="B360" s="9" t="s">
        <v>729</v>
      </c>
      <c r="C360" s="8" t="s">
        <v>28</v>
      </c>
    </row>
    <row r="361" spans="1:3" x14ac:dyDescent="0.25">
      <c r="A361" s="8">
        <v>4661117</v>
      </c>
      <c r="B361" s="9" t="s">
        <v>730</v>
      </c>
      <c r="C361" s="8" t="s">
        <v>28</v>
      </c>
    </row>
    <row r="362" spans="1:3" x14ac:dyDescent="0.25">
      <c r="A362" s="8">
        <v>4661796</v>
      </c>
      <c r="B362" s="9" t="s">
        <v>731</v>
      </c>
      <c r="C362" s="8" t="s">
        <v>26</v>
      </c>
    </row>
    <row r="363" spans="1:3" x14ac:dyDescent="0.25">
      <c r="A363" s="8">
        <v>4661797</v>
      </c>
      <c r="B363" s="9" t="s">
        <v>732</v>
      </c>
      <c r="C363" s="8" t="s">
        <v>26</v>
      </c>
    </row>
    <row r="364" spans="1:3" x14ac:dyDescent="0.25">
      <c r="A364" s="8">
        <v>4661798</v>
      </c>
      <c r="B364" s="9" t="s">
        <v>399</v>
      </c>
      <c r="C364" s="8" t="s">
        <v>26</v>
      </c>
    </row>
    <row r="365" spans="1:3" x14ac:dyDescent="0.25">
      <c r="A365" s="8">
        <v>4661799</v>
      </c>
      <c r="B365" s="9" t="s">
        <v>187</v>
      </c>
      <c r="C365" s="8" t="s">
        <v>26</v>
      </c>
    </row>
    <row r="366" spans="1:3" x14ac:dyDescent="0.25">
      <c r="A366" s="8">
        <v>4661800</v>
      </c>
      <c r="B366" s="9" t="s">
        <v>733</v>
      </c>
      <c r="C366" s="8" t="s">
        <v>27</v>
      </c>
    </row>
    <row r="367" spans="1:3" x14ac:dyDescent="0.25">
      <c r="A367" s="8">
        <v>4661801</v>
      </c>
      <c r="B367" s="9" t="s">
        <v>734</v>
      </c>
      <c r="C367" s="8" t="s">
        <v>26</v>
      </c>
    </row>
    <row r="368" spans="1:3" x14ac:dyDescent="0.25">
      <c r="A368" s="8">
        <v>4661802</v>
      </c>
      <c r="B368" s="9" t="s">
        <v>735</v>
      </c>
      <c r="C368" s="8" t="s">
        <v>26</v>
      </c>
    </row>
    <row r="369" spans="1:3" x14ac:dyDescent="0.25">
      <c r="A369" s="8">
        <v>4661803</v>
      </c>
      <c r="B369" s="9" t="s">
        <v>736</v>
      </c>
      <c r="C369" s="8" t="s">
        <v>26</v>
      </c>
    </row>
    <row r="370" spans="1:3" x14ac:dyDescent="0.25">
      <c r="A370" s="8">
        <v>4661804</v>
      </c>
      <c r="B370" s="9" t="s">
        <v>737</v>
      </c>
      <c r="C370" s="8" t="s">
        <v>26</v>
      </c>
    </row>
    <row r="371" spans="1:3" x14ac:dyDescent="0.25">
      <c r="A371" s="8">
        <v>4663162</v>
      </c>
      <c r="B371" s="9" t="s">
        <v>738</v>
      </c>
      <c r="C371" s="8" t="s">
        <v>27</v>
      </c>
    </row>
    <row r="372" spans="1:3" x14ac:dyDescent="0.25">
      <c r="A372" s="8">
        <v>4663770</v>
      </c>
      <c r="B372" s="9" t="s">
        <v>739</v>
      </c>
      <c r="C372" s="8" t="s">
        <v>28</v>
      </c>
    </row>
    <row r="373" spans="1:3" x14ac:dyDescent="0.25">
      <c r="A373" s="8">
        <v>4663803</v>
      </c>
      <c r="B373" s="9" t="s">
        <v>740</v>
      </c>
      <c r="C373" s="8" t="s">
        <v>28</v>
      </c>
    </row>
    <row r="374" spans="1:3" x14ac:dyDescent="0.25">
      <c r="A374" s="8">
        <v>4663805</v>
      </c>
      <c r="B374" s="9" t="s">
        <v>741</v>
      </c>
      <c r="C374" s="8" t="s">
        <v>28</v>
      </c>
    </row>
    <row r="375" spans="1:3" x14ac:dyDescent="0.25">
      <c r="A375" s="8">
        <v>4664001</v>
      </c>
      <c r="B375" s="9" t="s">
        <v>742</v>
      </c>
      <c r="C375" s="8" t="s">
        <v>28</v>
      </c>
    </row>
    <row r="376" spans="1:3" x14ac:dyDescent="0.25">
      <c r="A376" s="8">
        <v>4664002</v>
      </c>
      <c r="B376" s="9" t="s">
        <v>743</v>
      </c>
      <c r="C376" s="8" t="s">
        <v>28</v>
      </c>
    </row>
    <row r="377" spans="1:3" x14ac:dyDescent="0.25">
      <c r="A377" s="8">
        <v>4664003</v>
      </c>
      <c r="B377" s="9" t="s">
        <v>204</v>
      </c>
      <c r="C377" s="8" t="s">
        <v>28</v>
      </c>
    </row>
    <row r="378" spans="1:3" x14ac:dyDescent="0.25">
      <c r="A378" s="8">
        <v>4664004</v>
      </c>
      <c r="B378" s="9" t="s">
        <v>744</v>
      </c>
      <c r="C378" s="8" t="s">
        <v>28</v>
      </c>
    </row>
    <row r="379" spans="1:3" x14ac:dyDescent="0.25">
      <c r="A379" s="8">
        <v>4664005</v>
      </c>
      <c r="B379" s="9" t="s">
        <v>193</v>
      </c>
      <c r="C379" s="8" t="s">
        <v>28</v>
      </c>
    </row>
    <row r="380" spans="1:3" x14ac:dyDescent="0.25">
      <c r="A380" s="8">
        <v>4664006</v>
      </c>
      <c r="B380" s="9" t="s">
        <v>205</v>
      </c>
      <c r="C380" s="8" t="s">
        <v>28</v>
      </c>
    </row>
    <row r="381" spans="1:3" x14ac:dyDescent="0.25">
      <c r="A381" s="8">
        <v>4664007</v>
      </c>
      <c r="B381" s="9" t="s">
        <v>209</v>
      </c>
      <c r="C381" s="8" t="s">
        <v>28</v>
      </c>
    </row>
    <row r="382" spans="1:3" x14ac:dyDescent="0.25">
      <c r="A382" s="8">
        <v>4664008</v>
      </c>
      <c r="B382" s="9" t="s">
        <v>745</v>
      </c>
      <c r="C382" s="8" t="s">
        <v>28</v>
      </c>
    </row>
    <row r="383" spans="1:3" x14ac:dyDescent="0.25">
      <c r="A383" s="8">
        <v>4664009</v>
      </c>
      <c r="B383" s="9" t="s">
        <v>746</v>
      </c>
      <c r="C383" s="8" t="s">
        <v>28</v>
      </c>
    </row>
    <row r="384" spans="1:3" x14ac:dyDescent="0.25">
      <c r="A384" s="8">
        <v>4664010</v>
      </c>
      <c r="B384" s="9" t="s">
        <v>747</v>
      </c>
      <c r="C384" s="8" t="s">
        <v>28</v>
      </c>
    </row>
    <row r="385" spans="1:3" x14ac:dyDescent="0.25">
      <c r="A385" s="8">
        <v>4664011</v>
      </c>
      <c r="B385" s="9" t="s">
        <v>748</v>
      </c>
      <c r="C385" s="8" t="s">
        <v>28</v>
      </c>
    </row>
    <row r="386" spans="1:3" x14ac:dyDescent="0.25">
      <c r="A386" s="8">
        <v>4664012</v>
      </c>
      <c r="B386" s="9" t="s">
        <v>749</v>
      </c>
      <c r="C386" s="8" t="s">
        <v>28</v>
      </c>
    </row>
    <row r="387" spans="1:3" x14ac:dyDescent="0.25">
      <c r="A387" s="8">
        <v>4664013</v>
      </c>
      <c r="B387" s="9" t="s">
        <v>750</v>
      </c>
      <c r="C387" s="8" t="s">
        <v>28</v>
      </c>
    </row>
    <row r="388" spans="1:3" x14ac:dyDescent="0.25">
      <c r="A388" s="8">
        <v>4664449</v>
      </c>
      <c r="B388" s="9" t="s">
        <v>751</v>
      </c>
      <c r="C388" s="8" t="s">
        <v>28</v>
      </c>
    </row>
    <row r="389" spans="1:3" x14ac:dyDescent="0.25">
      <c r="A389" s="8">
        <v>4664738</v>
      </c>
      <c r="B389" s="9" t="s">
        <v>752</v>
      </c>
      <c r="C389" s="8" t="s">
        <v>28</v>
      </c>
    </row>
    <row r="390" spans="1:3" x14ac:dyDescent="0.25">
      <c r="A390" s="8">
        <v>4664819</v>
      </c>
      <c r="B390" s="9" t="s">
        <v>753</v>
      </c>
      <c r="C390" s="8" t="s">
        <v>28</v>
      </c>
    </row>
    <row r="391" spans="1:3" x14ac:dyDescent="0.25">
      <c r="A391" s="8">
        <v>4664820</v>
      </c>
      <c r="B391" s="9" t="s">
        <v>754</v>
      </c>
      <c r="C391" s="8" t="s">
        <v>28</v>
      </c>
    </row>
    <row r="392" spans="1:3" x14ac:dyDescent="0.25">
      <c r="A392" s="8">
        <v>4664823</v>
      </c>
      <c r="B392" s="9" t="s">
        <v>755</v>
      </c>
      <c r="C392" s="8" t="s">
        <v>28</v>
      </c>
    </row>
    <row r="393" spans="1:3" x14ac:dyDescent="0.25">
      <c r="A393" s="8">
        <v>4665196</v>
      </c>
      <c r="B393" s="9" t="s">
        <v>756</v>
      </c>
      <c r="C393" s="8" t="s">
        <v>28</v>
      </c>
    </row>
    <row r="394" spans="1:3" x14ac:dyDescent="0.25">
      <c r="A394" s="8">
        <v>4665198</v>
      </c>
      <c r="B394" s="9" t="s">
        <v>757</v>
      </c>
      <c r="C394" s="8" t="s">
        <v>28</v>
      </c>
    </row>
    <row r="395" spans="1:3" x14ac:dyDescent="0.25">
      <c r="A395" s="8">
        <v>4665200</v>
      </c>
      <c r="B395" s="9" t="s">
        <v>43</v>
      </c>
      <c r="C395" s="8" t="s">
        <v>28</v>
      </c>
    </row>
    <row r="396" spans="1:3" x14ac:dyDescent="0.25">
      <c r="A396" s="8">
        <v>4665231</v>
      </c>
      <c r="B396" s="9" t="s">
        <v>44</v>
      </c>
      <c r="C396" s="8" t="s">
        <v>28</v>
      </c>
    </row>
    <row r="397" spans="1:3" x14ac:dyDescent="0.25">
      <c r="A397" s="8">
        <v>4665232</v>
      </c>
      <c r="B397" s="9" t="s">
        <v>45</v>
      </c>
      <c r="C397" s="8" t="s">
        <v>28</v>
      </c>
    </row>
    <row r="398" spans="1:3" x14ac:dyDescent="0.25">
      <c r="A398" s="8">
        <v>4666209</v>
      </c>
      <c r="B398" s="9" t="s">
        <v>758</v>
      </c>
      <c r="C398" s="8" t="s">
        <v>28</v>
      </c>
    </row>
    <row r="399" spans="1:3" x14ac:dyDescent="0.25">
      <c r="A399" s="8">
        <v>4666284</v>
      </c>
      <c r="B399" s="9" t="s">
        <v>46</v>
      </c>
      <c r="C399" s="8" t="s">
        <v>28</v>
      </c>
    </row>
    <row r="400" spans="1:3" x14ac:dyDescent="0.25">
      <c r="A400" s="8">
        <v>4667294</v>
      </c>
      <c r="B400" s="9" t="s">
        <v>759</v>
      </c>
      <c r="C400" s="8" t="s">
        <v>28</v>
      </c>
    </row>
    <row r="401" spans="1:3" x14ac:dyDescent="0.25">
      <c r="A401" s="8">
        <v>4667452</v>
      </c>
      <c r="B401" s="9" t="s">
        <v>211</v>
      </c>
      <c r="C401" s="8" t="s">
        <v>26</v>
      </c>
    </row>
    <row r="402" spans="1:3" x14ac:dyDescent="0.25">
      <c r="A402" s="8">
        <v>4667556</v>
      </c>
      <c r="B402" s="9" t="s">
        <v>760</v>
      </c>
      <c r="C402" s="8" t="s">
        <v>28</v>
      </c>
    </row>
    <row r="403" spans="1:3" x14ac:dyDescent="0.25">
      <c r="A403" s="8">
        <v>4667634</v>
      </c>
      <c r="B403" s="9" t="s">
        <v>761</v>
      </c>
      <c r="C403" s="8" t="s">
        <v>28</v>
      </c>
    </row>
    <row r="404" spans="1:3" x14ac:dyDescent="0.25">
      <c r="A404" s="8">
        <v>4669041</v>
      </c>
      <c r="B404" s="9" t="s">
        <v>762</v>
      </c>
      <c r="C404" s="8" t="s">
        <v>28</v>
      </c>
    </row>
    <row r="405" spans="1:3" x14ac:dyDescent="0.25">
      <c r="A405" s="8">
        <v>4669042</v>
      </c>
      <c r="B405" s="9" t="s">
        <v>763</v>
      </c>
      <c r="C405" s="8" t="s">
        <v>28</v>
      </c>
    </row>
    <row r="406" spans="1:3" x14ac:dyDescent="0.25">
      <c r="A406" s="8">
        <v>4669044</v>
      </c>
      <c r="B406" s="9" t="s">
        <v>47</v>
      </c>
      <c r="C406" s="8" t="s">
        <v>28</v>
      </c>
    </row>
    <row r="407" spans="1:3" x14ac:dyDescent="0.25">
      <c r="A407" s="8">
        <v>4669045</v>
      </c>
      <c r="B407" s="9" t="s">
        <v>764</v>
      </c>
      <c r="C407" s="8" t="s">
        <v>28</v>
      </c>
    </row>
    <row r="408" spans="1:3" x14ac:dyDescent="0.25">
      <c r="A408" s="8">
        <v>4669046</v>
      </c>
      <c r="B408" s="9" t="s">
        <v>48</v>
      </c>
      <c r="C408" s="8" t="s">
        <v>28</v>
      </c>
    </row>
    <row r="409" spans="1:3" x14ac:dyDescent="0.25">
      <c r="A409" s="8">
        <v>4670772</v>
      </c>
      <c r="B409" s="9" t="s">
        <v>765</v>
      </c>
      <c r="C409" s="8" t="s">
        <v>28</v>
      </c>
    </row>
    <row r="410" spans="1:3" x14ac:dyDescent="0.25">
      <c r="A410" s="8">
        <v>4670773</v>
      </c>
      <c r="B410" s="9" t="s">
        <v>766</v>
      </c>
      <c r="C410" s="8" t="s">
        <v>28</v>
      </c>
    </row>
    <row r="411" spans="1:3" x14ac:dyDescent="0.25">
      <c r="A411" s="8">
        <v>4670774</v>
      </c>
      <c r="B411" s="9" t="s">
        <v>767</v>
      </c>
      <c r="C411" s="8" t="s">
        <v>28</v>
      </c>
    </row>
    <row r="412" spans="1:3" x14ac:dyDescent="0.25">
      <c r="A412" s="8">
        <v>4670775</v>
      </c>
      <c r="B412" s="9" t="s">
        <v>768</v>
      </c>
      <c r="C412" s="8" t="s">
        <v>28</v>
      </c>
    </row>
    <row r="413" spans="1:3" x14ac:dyDescent="0.25">
      <c r="A413" s="8">
        <v>4670776</v>
      </c>
      <c r="B413" s="9" t="s">
        <v>769</v>
      </c>
      <c r="C413" s="8" t="s">
        <v>28</v>
      </c>
    </row>
    <row r="414" spans="1:3" x14ac:dyDescent="0.25">
      <c r="A414" s="8">
        <v>4670777</v>
      </c>
      <c r="B414" s="9" t="s">
        <v>770</v>
      </c>
      <c r="C414" s="8" t="s">
        <v>28</v>
      </c>
    </row>
    <row r="415" spans="1:3" x14ac:dyDescent="0.25">
      <c r="A415" s="8">
        <v>4670778</v>
      </c>
      <c r="B415" s="9" t="s">
        <v>771</v>
      </c>
      <c r="C415" s="8" t="s">
        <v>28</v>
      </c>
    </row>
    <row r="416" spans="1:3" x14ac:dyDescent="0.25">
      <c r="A416" s="8">
        <v>4670779</v>
      </c>
      <c r="B416" s="9" t="s">
        <v>772</v>
      </c>
      <c r="C416" s="8" t="s">
        <v>28</v>
      </c>
    </row>
    <row r="417" spans="1:3" x14ac:dyDescent="0.25">
      <c r="A417" s="8">
        <v>4670780</v>
      </c>
      <c r="B417" s="9" t="s">
        <v>773</v>
      </c>
      <c r="C417" s="8" t="s">
        <v>28</v>
      </c>
    </row>
    <row r="418" spans="1:3" x14ac:dyDescent="0.25">
      <c r="A418" s="8">
        <v>4670781</v>
      </c>
      <c r="B418" s="9" t="s">
        <v>774</v>
      </c>
      <c r="C418" s="8" t="s">
        <v>28</v>
      </c>
    </row>
    <row r="419" spans="1:3" x14ac:dyDescent="0.25">
      <c r="A419" s="8">
        <v>4671292</v>
      </c>
      <c r="B419" s="9" t="s">
        <v>775</v>
      </c>
      <c r="C419" s="8" t="s">
        <v>28</v>
      </c>
    </row>
    <row r="420" spans="1:3" x14ac:dyDescent="0.25">
      <c r="A420" s="8">
        <v>4673304</v>
      </c>
      <c r="B420" s="9" t="s">
        <v>776</v>
      </c>
      <c r="C420" s="8" t="s">
        <v>28</v>
      </c>
    </row>
    <row r="421" spans="1:3" x14ac:dyDescent="0.25">
      <c r="A421" s="8">
        <v>4673305</v>
      </c>
      <c r="B421" s="9" t="s">
        <v>777</v>
      </c>
      <c r="C421" s="8" t="s">
        <v>28</v>
      </c>
    </row>
    <row r="422" spans="1:3" x14ac:dyDescent="0.25">
      <c r="A422" s="8">
        <v>4673669</v>
      </c>
      <c r="B422" s="9" t="s">
        <v>778</v>
      </c>
      <c r="C422" s="8" t="s">
        <v>28</v>
      </c>
    </row>
    <row r="423" spans="1:3" x14ac:dyDescent="0.25">
      <c r="A423" s="8">
        <v>4679892</v>
      </c>
      <c r="B423" s="9" t="s">
        <v>779</v>
      </c>
      <c r="C423" s="8" t="s">
        <v>31</v>
      </c>
    </row>
    <row r="424" spans="1:3" x14ac:dyDescent="0.25">
      <c r="A424" s="8">
        <v>4679893</v>
      </c>
      <c r="B424" s="9" t="s">
        <v>780</v>
      </c>
      <c r="C424" s="8" t="s">
        <v>31</v>
      </c>
    </row>
    <row r="425" spans="1:3" x14ac:dyDescent="0.25">
      <c r="A425" s="8">
        <v>4679894</v>
      </c>
      <c r="B425" s="9" t="s">
        <v>197</v>
      </c>
      <c r="C425" s="8" t="s">
        <v>31</v>
      </c>
    </row>
    <row r="426" spans="1:3" x14ac:dyDescent="0.25">
      <c r="A426" s="8">
        <v>4679895</v>
      </c>
      <c r="B426" s="9" t="s">
        <v>176</v>
      </c>
      <c r="C426" s="8" t="s">
        <v>31</v>
      </c>
    </row>
    <row r="427" spans="1:3" x14ac:dyDescent="0.25">
      <c r="A427" s="8">
        <v>4679896</v>
      </c>
      <c r="B427" s="9" t="s">
        <v>781</v>
      </c>
      <c r="C427" s="8" t="s">
        <v>31</v>
      </c>
    </row>
    <row r="428" spans="1:3" x14ac:dyDescent="0.25">
      <c r="A428" s="8">
        <v>4679897</v>
      </c>
      <c r="B428" s="9" t="s">
        <v>782</v>
      </c>
      <c r="C428" s="8" t="s">
        <v>31</v>
      </c>
    </row>
    <row r="429" spans="1:3" x14ac:dyDescent="0.25">
      <c r="A429" s="8">
        <v>4682413</v>
      </c>
      <c r="B429" s="9" t="s">
        <v>783</v>
      </c>
      <c r="C429" s="8" t="s">
        <v>28</v>
      </c>
    </row>
    <row r="430" spans="1:3" x14ac:dyDescent="0.25">
      <c r="A430" s="8">
        <v>4682615</v>
      </c>
      <c r="B430" s="9" t="s">
        <v>182</v>
      </c>
      <c r="C430" s="8" t="s">
        <v>28</v>
      </c>
    </row>
    <row r="431" spans="1:3" x14ac:dyDescent="0.25">
      <c r="A431" s="8">
        <v>4682688</v>
      </c>
      <c r="B431" s="9" t="s">
        <v>784</v>
      </c>
      <c r="C431" s="8" t="s">
        <v>28</v>
      </c>
    </row>
    <row r="432" spans="1:3" x14ac:dyDescent="0.25">
      <c r="A432" s="8">
        <v>4682689</v>
      </c>
      <c r="B432" s="9" t="s">
        <v>785</v>
      </c>
      <c r="C432" s="8" t="s">
        <v>28</v>
      </c>
    </row>
    <row r="433" spans="1:3" x14ac:dyDescent="0.25">
      <c r="A433" s="8">
        <v>4682690</v>
      </c>
      <c r="B433" s="9" t="s">
        <v>786</v>
      </c>
      <c r="C433" s="8" t="s">
        <v>28</v>
      </c>
    </row>
    <row r="434" spans="1:3" x14ac:dyDescent="0.25">
      <c r="A434" s="8">
        <v>4682691</v>
      </c>
      <c r="B434" s="9" t="s">
        <v>787</v>
      </c>
      <c r="C434" s="8" t="s">
        <v>28</v>
      </c>
    </row>
    <row r="435" spans="1:3" x14ac:dyDescent="0.25">
      <c r="A435" s="8">
        <v>4682709</v>
      </c>
      <c r="B435" s="9" t="s">
        <v>788</v>
      </c>
      <c r="C435" s="8" t="s">
        <v>28</v>
      </c>
    </row>
    <row r="436" spans="1:3" x14ac:dyDescent="0.25">
      <c r="A436" s="8">
        <v>4682710</v>
      </c>
      <c r="B436" s="9" t="s">
        <v>789</v>
      </c>
      <c r="C436" s="8" t="s">
        <v>26</v>
      </c>
    </row>
    <row r="437" spans="1:3" x14ac:dyDescent="0.25">
      <c r="A437" s="8">
        <v>4682711</v>
      </c>
      <c r="B437" s="9" t="s">
        <v>790</v>
      </c>
      <c r="C437" s="8" t="s">
        <v>28</v>
      </c>
    </row>
    <row r="438" spans="1:3" x14ac:dyDescent="0.25">
      <c r="A438" s="8">
        <v>4682712</v>
      </c>
      <c r="B438" s="9" t="s">
        <v>791</v>
      </c>
      <c r="C438" s="8" t="s">
        <v>28</v>
      </c>
    </row>
    <row r="439" spans="1:3" x14ac:dyDescent="0.25">
      <c r="A439" s="8">
        <v>4682713</v>
      </c>
      <c r="B439" s="9" t="s">
        <v>792</v>
      </c>
      <c r="C439" s="8" t="s">
        <v>28</v>
      </c>
    </row>
    <row r="440" spans="1:3" x14ac:dyDescent="0.25">
      <c r="A440" s="8">
        <v>4682714</v>
      </c>
      <c r="B440" s="9" t="s">
        <v>793</v>
      </c>
      <c r="C440" s="8" t="s">
        <v>26</v>
      </c>
    </row>
    <row r="441" spans="1:3" x14ac:dyDescent="0.25">
      <c r="A441" s="8">
        <v>4682715</v>
      </c>
      <c r="B441" s="9" t="s">
        <v>794</v>
      </c>
      <c r="C441" s="8" t="s">
        <v>26</v>
      </c>
    </row>
    <row r="442" spans="1:3" x14ac:dyDescent="0.25">
      <c r="A442" s="8">
        <v>4682761</v>
      </c>
      <c r="B442" s="9" t="s">
        <v>795</v>
      </c>
      <c r="C442" s="8" t="s">
        <v>26</v>
      </c>
    </row>
    <row r="443" spans="1:3" x14ac:dyDescent="0.25">
      <c r="A443" s="8">
        <v>4682762</v>
      </c>
      <c r="B443" s="9" t="s">
        <v>796</v>
      </c>
      <c r="C443" s="8" t="s">
        <v>26</v>
      </c>
    </row>
    <row r="444" spans="1:3" x14ac:dyDescent="0.25">
      <c r="A444" s="8">
        <v>4682763</v>
      </c>
      <c r="B444" s="9" t="s">
        <v>797</v>
      </c>
      <c r="C444" s="8" t="s">
        <v>26</v>
      </c>
    </row>
    <row r="445" spans="1:3" x14ac:dyDescent="0.25">
      <c r="A445" s="8">
        <v>4682764</v>
      </c>
      <c r="B445" s="9" t="s">
        <v>798</v>
      </c>
      <c r="C445" s="8" t="s">
        <v>26</v>
      </c>
    </row>
    <row r="446" spans="1:3" x14ac:dyDescent="0.25">
      <c r="A446" s="8">
        <v>4682826</v>
      </c>
      <c r="B446" s="9" t="s">
        <v>799</v>
      </c>
      <c r="C446" s="8" t="s">
        <v>27</v>
      </c>
    </row>
    <row r="447" spans="1:3" x14ac:dyDescent="0.25">
      <c r="A447" s="8">
        <v>4682827</v>
      </c>
      <c r="B447" s="9" t="s">
        <v>800</v>
      </c>
      <c r="C447" s="8" t="s">
        <v>26</v>
      </c>
    </row>
    <row r="448" spans="1:3" x14ac:dyDescent="0.25">
      <c r="A448" s="8">
        <v>4682828</v>
      </c>
      <c r="B448" s="9" t="s">
        <v>801</v>
      </c>
      <c r="C448" s="8" t="s">
        <v>26</v>
      </c>
    </row>
    <row r="449" spans="1:3" x14ac:dyDescent="0.25">
      <c r="A449" s="8">
        <v>4682829</v>
      </c>
      <c r="B449" s="9" t="s">
        <v>802</v>
      </c>
      <c r="C449" s="8" t="s">
        <v>26</v>
      </c>
    </row>
    <row r="450" spans="1:3" x14ac:dyDescent="0.25">
      <c r="A450" s="8">
        <v>4682830</v>
      </c>
      <c r="B450" s="9" t="s">
        <v>803</v>
      </c>
      <c r="C450" s="8" t="s">
        <v>26</v>
      </c>
    </row>
    <row r="451" spans="1:3" x14ac:dyDescent="0.25">
      <c r="A451" s="8">
        <v>4682831</v>
      </c>
      <c r="B451" s="9" t="s">
        <v>804</v>
      </c>
      <c r="C451" s="8" t="s">
        <v>26</v>
      </c>
    </row>
    <row r="452" spans="1:3" x14ac:dyDescent="0.25">
      <c r="A452" s="8">
        <v>4682832</v>
      </c>
      <c r="B452" s="9" t="s">
        <v>805</v>
      </c>
      <c r="C452" s="8" t="s">
        <v>26</v>
      </c>
    </row>
    <row r="453" spans="1:3" x14ac:dyDescent="0.25">
      <c r="A453" s="8">
        <v>4682833</v>
      </c>
      <c r="B453" s="9" t="s">
        <v>806</v>
      </c>
      <c r="C453" s="8" t="s">
        <v>26</v>
      </c>
    </row>
    <row r="454" spans="1:3" x14ac:dyDescent="0.25">
      <c r="A454" s="8">
        <v>4682834</v>
      </c>
      <c r="B454" s="9" t="s">
        <v>807</v>
      </c>
      <c r="C454" s="8" t="s">
        <v>26</v>
      </c>
    </row>
    <row r="455" spans="1:3" x14ac:dyDescent="0.25">
      <c r="A455" s="8">
        <v>4682836</v>
      </c>
      <c r="B455" s="9" t="s">
        <v>808</v>
      </c>
      <c r="C455" s="8" t="s">
        <v>26</v>
      </c>
    </row>
    <row r="456" spans="1:3" x14ac:dyDescent="0.25">
      <c r="A456" s="8">
        <v>4682837</v>
      </c>
      <c r="B456" s="9" t="s">
        <v>809</v>
      </c>
      <c r="C456" s="8" t="s">
        <v>28</v>
      </c>
    </row>
    <row r="457" spans="1:3" x14ac:dyDescent="0.25">
      <c r="A457" s="8">
        <v>4682838</v>
      </c>
      <c r="B457" s="9" t="s">
        <v>810</v>
      </c>
      <c r="C457" s="8" t="s">
        <v>28</v>
      </c>
    </row>
    <row r="458" spans="1:3" x14ac:dyDescent="0.25">
      <c r="A458" s="8">
        <v>4682839</v>
      </c>
      <c r="B458" s="9" t="s">
        <v>811</v>
      </c>
      <c r="C458" s="8" t="s">
        <v>28</v>
      </c>
    </row>
    <row r="459" spans="1:3" x14ac:dyDescent="0.25">
      <c r="A459" s="8">
        <v>4682840</v>
      </c>
      <c r="B459" s="9" t="s">
        <v>812</v>
      </c>
      <c r="C459" s="8" t="s">
        <v>28</v>
      </c>
    </row>
    <row r="460" spans="1:3" x14ac:dyDescent="0.25">
      <c r="A460" s="8">
        <v>4682841</v>
      </c>
      <c r="B460" s="9" t="s">
        <v>813</v>
      </c>
      <c r="C460" s="8" t="s">
        <v>28</v>
      </c>
    </row>
    <row r="461" spans="1:3" x14ac:dyDescent="0.25">
      <c r="A461" s="8">
        <v>4682842</v>
      </c>
      <c r="B461" s="9" t="s">
        <v>814</v>
      </c>
      <c r="C461" s="8" t="s">
        <v>28</v>
      </c>
    </row>
    <row r="462" spans="1:3" x14ac:dyDescent="0.25">
      <c r="A462" s="8">
        <v>4682843</v>
      </c>
      <c r="B462" s="9" t="s">
        <v>815</v>
      </c>
      <c r="C462" s="8" t="s">
        <v>28</v>
      </c>
    </row>
    <row r="463" spans="1:3" x14ac:dyDescent="0.25">
      <c r="A463" s="8">
        <v>4682844</v>
      </c>
      <c r="B463" s="9" t="s">
        <v>816</v>
      </c>
      <c r="C463" s="8" t="s">
        <v>28</v>
      </c>
    </row>
    <row r="464" spans="1:3" x14ac:dyDescent="0.25">
      <c r="A464" s="8">
        <v>4682972</v>
      </c>
      <c r="B464" s="9" t="s">
        <v>817</v>
      </c>
      <c r="C464" s="8" t="s">
        <v>28</v>
      </c>
    </row>
    <row r="465" spans="1:3" x14ac:dyDescent="0.25">
      <c r="A465" s="8">
        <v>4682973</v>
      </c>
      <c r="B465" s="9" t="s">
        <v>818</v>
      </c>
      <c r="C465" s="8" t="s">
        <v>28</v>
      </c>
    </row>
    <row r="466" spans="1:3" x14ac:dyDescent="0.25">
      <c r="A466" s="8">
        <v>4682974</v>
      </c>
      <c r="B466" s="9" t="s">
        <v>819</v>
      </c>
      <c r="C466" s="8" t="s">
        <v>26</v>
      </c>
    </row>
    <row r="467" spans="1:3" x14ac:dyDescent="0.25">
      <c r="A467" s="8">
        <v>4682975</v>
      </c>
      <c r="B467" s="9" t="s">
        <v>820</v>
      </c>
      <c r="C467" s="8" t="s">
        <v>26</v>
      </c>
    </row>
    <row r="468" spans="1:3" x14ac:dyDescent="0.25">
      <c r="A468" s="8">
        <v>4682983</v>
      </c>
      <c r="B468" s="9" t="s">
        <v>183</v>
      </c>
      <c r="C468" s="8" t="s">
        <v>28</v>
      </c>
    </row>
    <row r="469" spans="1:3" x14ac:dyDescent="0.25">
      <c r="A469" s="8">
        <v>4683266</v>
      </c>
      <c r="B469" s="9" t="s">
        <v>821</v>
      </c>
      <c r="C469" s="8" t="s">
        <v>28</v>
      </c>
    </row>
    <row r="470" spans="1:3" x14ac:dyDescent="0.25">
      <c r="A470" s="8">
        <v>4683457</v>
      </c>
      <c r="B470" s="9" t="s">
        <v>822</v>
      </c>
      <c r="C470" s="8" t="s">
        <v>28</v>
      </c>
    </row>
    <row r="471" spans="1:3" x14ac:dyDescent="0.25">
      <c r="A471" s="8">
        <v>4683458</v>
      </c>
      <c r="B471" s="9" t="s">
        <v>823</v>
      </c>
      <c r="C471" s="8" t="s">
        <v>28</v>
      </c>
    </row>
    <row r="472" spans="1:3" x14ac:dyDescent="0.25">
      <c r="A472" s="8">
        <v>4683465</v>
      </c>
      <c r="B472" s="9" t="s">
        <v>824</v>
      </c>
      <c r="C472" s="8" t="s">
        <v>27</v>
      </c>
    </row>
    <row r="473" spans="1:3" x14ac:dyDescent="0.25">
      <c r="A473" s="8">
        <v>4692261</v>
      </c>
      <c r="B473" s="9" t="s">
        <v>825</v>
      </c>
      <c r="C473" s="8" t="s">
        <v>28</v>
      </c>
    </row>
    <row r="474" spans="1:3" x14ac:dyDescent="0.25">
      <c r="A474" s="8">
        <v>4692262</v>
      </c>
      <c r="B474" s="9" t="s">
        <v>826</v>
      </c>
      <c r="C474" s="8" t="s">
        <v>28</v>
      </c>
    </row>
    <row r="475" spans="1:3" x14ac:dyDescent="0.25">
      <c r="A475" s="8">
        <v>4692263</v>
      </c>
      <c r="B475" s="9" t="s">
        <v>827</v>
      </c>
      <c r="C475" s="8" t="s">
        <v>28</v>
      </c>
    </row>
    <row r="476" spans="1:3" x14ac:dyDescent="0.25">
      <c r="A476" s="8">
        <v>4692264</v>
      </c>
      <c r="B476" s="9" t="s">
        <v>828</v>
      </c>
      <c r="C476" s="8" t="s">
        <v>28</v>
      </c>
    </row>
    <row r="477" spans="1:3" x14ac:dyDescent="0.25">
      <c r="A477" s="8">
        <v>4692266</v>
      </c>
      <c r="B477" s="9" t="s">
        <v>829</v>
      </c>
      <c r="C477" s="8" t="s">
        <v>28</v>
      </c>
    </row>
    <row r="478" spans="1:3" x14ac:dyDescent="0.25">
      <c r="A478" s="8">
        <v>4692267</v>
      </c>
      <c r="B478" s="9" t="s">
        <v>830</v>
      </c>
      <c r="C478" s="8" t="s">
        <v>28</v>
      </c>
    </row>
    <row r="479" spans="1:3" x14ac:dyDescent="0.25">
      <c r="A479" s="8">
        <v>4713859</v>
      </c>
      <c r="B479" s="9" t="s">
        <v>831</v>
      </c>
      <c r="C479" s="8" t="s">
        <v>28</v>
      </c>
    </row>
    <row r="480" spans="1:3" x14ac:dyDescent="0.25">
      <c r="A480" s="8">
        <v>6764371</v>
      </c>
      <c r="B480" s="9" t="s">
        <v>832</v>
      </c>
      <c r="C480" s="8" t="s">
        <v>26</v>
      </c>
    </row>
    <row r="481" spans="1:3" x14ac:dyDescent="0.25">
      <c r="A481" s="8">
        <v>6770135</v>
      </c>
      <c r="B481" s="9" t="s">
        <v>833</v>
      </c>
      <c r="C481" s="8" t="s">
        <v>28</v>
      </c>
    </row>
    <row r="482" spans="1:3" x14ac:dyDescent="0.25">
      <c r="A482" s="8">
        <v>6770136</v>
      </c>
      <c r="B482" s="9" t="s">
        <v>834</v>
      </c>
      <c r="C482" s="8" t="s">
        <v>28</v>
      </c>
    </row>
    <row r="483" spans="1:3" x14ac:dyDescent="0.25">
      <c r="A483" s="8">
        <v>6770137</v>
      </c>
      <c r="B483" s="9" t="s">
        <v>835</v>
      </c>
      <c r="C483" s="8" t="s">
        <v>28</v>
      </c>
    </row>
    <row r="484" spans="1:3" x14ac:dyDescent="0.25">
      <c r="A484" s="8">
        <v>6770138</v>
      </c>
      <c r="B484" s="9" t="s">
        <v>836</v>
      </c>
      <c r="C484" s="8" t="s">
        <v>28</v>
      </c>
    </row>
    <row r="485" spans="1:3" x14ac:dyDescent="0.25">
      <c r="A485" s="8">
        <v>6770139</v>
      </c>
      <c r="B485" s="9" t="s">
        <v>837</v>
      </c>
      <c r="C485" s="8" t="s">
        <v>28</v>
      </c>
    </row>
    <row r="486" spans="1:3" x14ac:dyDescent="0.25">
      <c r="A486" s="8">
        <v>6771930</v>
      </c>
      <c r="B486" s="9" t="s">
        <v>838</v>
      </c>
      <c r="C486" s="8" t="s">
        <v>28</v>
      </c>
    </row>
    <row r="487" spans="1:3" x14ac:dyDescent="0.25">
      <c r="A487" s="8">
        <v>6771931</v>
      </c>
      <c r="B487" s="9" t="s">
        <v>839</v>
      </c>
      <c r="C487" s="8" t="s">
        <v>28</v>
      </c>
    </row>
    <row r="488" spans="1:3" x14ac:dyDescent="0.25">
      <c r="A488" s="8">
        <v>6771932</v>
      </c>
      <c r="B488" s="9" t="s">
        <v>840</v>
      </c>
      <c r="C488" s="8" t="s">
        <v>28</v>
      </c>
    </row>
    <row r="489" spans="1:3" x14ac:dyDescent="0.25">
      <c r="A489" s="8">
        <v>6771933</v>
      </c>
      <c r="B489" s="9" t="s">
        <v>841</v>
      </c>
      <c r="C489" s="8" t="s">
        <v>28</v>
      </c>
    </row>
    <row r="490" spans="1:3" x14ac:dyDescent="0.25">
      <c r="A490" s="8">
        <v>6771934</v>
      </c>
      <c r="B490" s="9" t="s">
        <v>842</v>
      </c>
      <c r="C490" s="8" t="s">
        <v>28</v>
      </c>
    </row>
    <row r="491" spans="1:3" x14ac:dyDescent="0.25">
      <c r="A491" s="8">
        <v>6771935</v>
      </c>
      <c r="B491" s="9" t="s">
        <v>843</v>
      </c>
      <c r="C491" s="8" t="s">
        <v>28</v>
      </c>
    </row>
    <row r="492" spans="1:3" x14ac:dyDescent="0.25">
      <c r="A492" s="8">
        <v>6771936</v>
      </c>
      <c r="B492" s="9" t="s">
        <v>844</v>
      </c>
      <c r="C492" s="8" t="s">
        <v>28</v>
      </c>
    </row>
    <row r="493" spans="1:3" x14ac:dyDescent="0.25">
      <c r="A493" s="8">
        <v>6771937</v>
      </c>
      <c r="B493" s="9" t="s">
        <v>845</v>
      </c>
      <c r="C493" s="8" t="s">
        <v>28</v>
      </c>
    </row>
    <row r="494" spans="1:3" x14ac:dyDescent="0.25">
      <c r="A494" s="8">
        <v>6771938</v>
      </c>
      <c r="B494" s="9" t="s">
        <v>846</v>
      </c>
      <c r="C494" s="8" t="s">
        <v>28</v>
      </c>
    </row>
    <row r="495" spans="1:3" x14ac:dyDescent="0.25">
      <c r="A495" s="8">
        <v>6771939</v>
      </c>
      <c r="B495" s="9" t="s">
        <v>847</v>
      </c>
      <c r="C495" s="8" t="s">
        <v>28</v>
      </c>
    </row>
    <row r="496" spans="1:3" x14ac:dyDescent="0.25">
      <c r="A496" s="8">
        <v>6771940</v>
      </c>
      <c r="B496" s="9" t="s">
        <v>848</v>
      </c>
      <c r="C496" s="8" t="s">
        <v>28</v>
      </c>
    </row>
    <row r="497" spans="1:3" x14ac:dyDescent="0.25">
      <c r="A497" s="8">
        <v>6771941</v>
      </c>
      <c r="B497" s="9" t="s">
        <v>849</v>
      </c>
      <c r="C497" s="8" t="s">
        <v>28</v>
      </c>
    </row>
    <row r="498" spans="1:3" x14ac:dyDescent="0.25">
      <c r="A498" s="8">
        <v>6771942</v>
      </c>
      <c r="B498" s="9" t="s">
        <v>850</v>
      </c>
      <c r="C498" s="8" t="s">
        <v>28</v>
      </c>
    </row>
    <row r="499" spans="1:3" x14ac:dyDescent="0.25">
      <c r="A499" s="8">
        <v>6771943</v>
      </c>
      <c r="B499" s="9" t="s">
        <v>851</v>
      </c>
      <c r="C499" s="8" t="s">
        <v>28</v>
      </c>
    </row>
    <row r="500" spans="1:3" x14ac:dyDescent="0.25">
      <c r="A500" s="8">
        <v>6771944</v>
      </c>
      <c r="B500" s="9" t="s">
        <v>852</v>
      </c>
      <c r="C500" s="8" t="s">
        <v>28</v>
      </c>
    </row>
    <row r="501" spans="1:3" x14ac:dyDescent="0.25">
      <c r="A501" s="8">
        <v>6771945</v>
      </c>
      <c r="B501" s="9" t="s">
        <v>853</v>
      </c>
      <c r="C501" s="8" t="s">
        <v>28</v>
      </c>
    </row>
    <row r="502" spans="1:3" x14ac:dyDescent="0.25">
      <c r="A502" s="8">
        <v>6771946</v>
      </c>
      <c r="B502" s="9" t="s">
        <v>854</v>
      </c>
      <c r="C502" s="8" t="s">
        <v>28</v>
      </c>
    </row>
    <row r="503" spans="1:3" x14ac:dyDescent="0.25">
      <c r="A503" s="8">
        <v>6771947</v>
      </c>
      <c r="B503" s="9" t="s">
        <v>855</v>
      </c>
      <c r="C503" s="8" t="s">
        <v>28</v>
      </c>
    </row>
    <row r="504" spans="1:3" x14ac:dyDescent="0.25">
      <c r="A504" s="8">
        <v>6771948</v>
      </c>
      <c r="B504" s="9" t="s">
        <v>856</v>
      </c>
      <c r="C504" s="8" t="s">
        <v>28</v>
      </c>
    </row>
    <row r="505" spans="1:3" x14ac:dyDescent="0.25">
      <c r="A505" s="8">
        <v>6771949</v>
      </c>
      <c r="B505" s="9" t="s">
        <v>857</v>
      </c>
      <c r="C505" s="8" t="s">
        <v>28</v>
      </c>
    </row>
    <row r="506" spans="1:3" x14ac:dyDescent="0.25">
      <c r="A506" s="8">
        <v>6771950</v>
      </c>
      <c r="B506" s="9" t="s">
        <v>858</v>
      </c>
      <c r="C506" s="8" t="s">
        <v>28</v>
      </c>
    </row>
    <row r="507" spans="1:3" x14ac:dyDescent="0.25">
      <c r="A507" s="8">
        <v>6771951</v>
      </c>
      <c r="B507" s="9" t="s">
        <v>859</v>
      </c>
      <c r="C507" s="8" t="s">
        <v>28</v>
      </c>
    </row>
    <row r="508" spans="1:3" x14ac:dyDescent="0.25">
      <c r="A508" s="8">
        <v>6771952</v>
      </c>
      <c r="B508" s="9" t="s">
        <v>860</v>
      </c>
      <c r="C508" s="8" t="s">
        <v>28</v>
      </c>
    </row>
    <row r="509" spans="1:3" x14ac:dyDescent="0.25">
      <c r="A509" s="8">
        <v>6771953</v>
      </c>
      <c r="B509" s="9" t="s">
        <v>861</v>
      </c>
      <c r="C509" s="8" t="s">
        <v>28</v>
      </c>
    </row>
    <row r="510" spans="1:3" x14ac:dyDescent="0.25">
      <c r="A510" s="8">
        <v>6771954</v>
      </c>
      <c r="B510" s="9" t="s">
        <v>862</v>
      </c>
      <c r="C510" s="8" t="s">
        <v>28</v>
      </c>
    </row>
    <row r="511" spans="1:3" x14ac:dyDescent="0.25">
      <c r="A511" s="8">
        <v>6771955</v>
      </c>
      <c r="B511" s="9" t="s">
        <v>863</v>
      </c>
      <c r="C511" s="8" t="s">
        <v>28</v>
      </c>
    </row>
    <row r="512" spans="1:3" x14ac:dyDescent="0.25">
      <c r="A512" s="8">
        <v>6771956</v>
      </c>
      <c r="B512" s="9" t="s">
        <v>864</v>
      </c>
      <c r="C512" s="8" t="s">
        <v>28</v>
      </c>
    </row>
    <row r="513" spans="1:3" x14ac:dyDescent="0.25">
      <c r="A513" s="8">
        <v>6771957</v>
      </c>
      <c r="B513" s="9" t="s">
        <v>865</v>
      </c>
      <c r="C513" s="8" t="s">
        <v>28</v>
      </c>
    </row>
    <row r="514" spans="1:3" x14ac:dyDescent="0.25">
      <c r="A514" s="8">
        <v>6771958</v>
      </c>
      <c r="B514" s="9" t="s">
        <v>866</v>
      </c>
      <c r="C514" s="8" t="s">
        <v>28</v>
      </c>
    </row>
    <row r="515" spans="1:3" x14ac:dyDescent="0.25">
      <c r="A515" s="8">
        <v>6771960</v>
      </c>
      <c r="B515" s="9" t="s">
        <v>867</v>
      </c>
      <c r="C515" s="8" t="s">
        <v>26</v>
      </c>
    </row>
    <row r="516" spans="1:3" x14ac:dyDescent="0.25">
      <c r="A516" s="8">
        <v>6771961</v>
      </c>
      <c r="B516" s="9" t="s">
        <v>868</v>
      </c>
      <c r="C516" s="8" t="s">
        <v>26</v>
      </c>
    </row>
    <row r="517" spans="1:3" x14ac:dyDescent="0.25">
      <c r="A517" s="8">
        <v>6771963</v>
      </c>
      <c r="B517" s="9" t="s">
        <v>869</v>
      </c>
      <c r="C517" s="8" t="s">
        <v>26</v>
      </c>
    </row>
    <row r="518" spans="1:3" x14ac:dyDescent="0.25">
      <c r="A518" s="8">
        <v>6771966</v>
      </c>
      <c r="B518" s="9" t="s">
        <v>870</v>
      </c>
      <c r="C518" s="8" t="s">
        <v>26</v>
      </c>
    </row>
    <row r="519" spans="1:3" x14ac:dyDescent="0.25">
      <c r="A519" s="8">
        <v>6771967</v>
      </c>
      <c r="B519" s="9" t="s">
        <v>871</v>
      </c>
      <c r="C519" s="8" t="s">
        <v>26</v>
      </c>
    </row>
    <row r="520" spans="1:3" x14ac:dyDescent="0.25">
      <c r="A520" s="8">
        <v>6771968</v>
      </c>
      <c r="B520" s="9" t="s">
        <v>872</v>
      </c>
      <c r="C520" s="8" t="s">
        <v>26</v>
      </c>
    </row>
    <row r="521" spans="1:3" x14ac:dyDescent="0.25">
      <c r="A521" s="8">
        <v>6771969</v>
      </c>
      <c r="B521" s="9" t="s">
        <v>873</v>
      </c>
      <c r="C521" s="8" t="s">
        <v>26</v>
      </c>
    </row>
    <row r="522" spans="1:3" x14ac:dyDescent="0.25">
      <c r="A522" s="8">
        <v>6771970</v>
      </c>
      <c r="B522" s="9" t="s">
        <v>874</v>
      </c>
      <c r="C522" s="8" t="s">
        <v>26</v>
      </c>
    </row>
    <row r="523" spans="1:3" x14ac:dyDescent="0.25">
      <c r="A523" s="8">
        <v>6771971</v>
      </c>
      <c r="B523" s="9" t="s">
        <v>875</v>
      </c>
      <c r="C523" s="8" t="s">
        <v>31</v>
      </c>
    </row>
    <row r="524" spans="1:3" x14ac:dyDescent="0.25">
      <c r="A524" s="8">
        <v>6771972</v>
      </c>
      <c r="B524" s="9" t="s">
        <v>876</v>
      </c>
      <c r="C524" s="8" t="s">
        <v>31</v>
      </c>
    </row>
    <row r="525" spans="1:3" x14ac:dyDescent="0.25">
      <c r="A525" s="8">
        <v>6771974</v>
      </c>
      <c r="B525" s="9" t="s">
        <v>877</v>
      </c>
      <c r="C525" s="8" t="s">
        <v>31</v>
      </c>
    </row>
    <row r="526" spans="1:3" x14ac:dyDescent="0.25">
      <c r="A526" s="8">
        <v>6771975</v>
      </c>
      <c r="B526" s="9" t="s">
        <v>878</v>
      </c>
      <c r="C526" s="8" t="s">
        <v>31</v>
      </c>
    </row>
    <row r="527" spans="1:3" x14ac:dyDescent="0.25">
      <c r="A527" s="8">
        <v>6771976</v>
      </c>
      <c r="B527" s="9" t="s">
        <v>879</v>
      </c>
      <c r="C527" s="8" t="s">
        <v>31</v>
      </c>
    </row>
    <row r="528" spans="1:3" x14ac:dyDescent="0.25">
      <c r="A528" s="8">
        <v>6771977</v>
      </c>
      <c r="B528" s="9" t="s">
        <v>880</v>
      </c>
      <c r="C528" s="8" t="s">
        <v>31</v>
      </c>
    </row>
    <row r="529" spans="1:3" x14ac:dyDescent="0.25">
      <c r="A529" s="8">
        <v>6771978</v>
      </c>
      <c r="B529" s="9" t="s">
        <v>881</v>
      </c>
      <c r="C529" s="8" t="s">
        <v>31</v>
      </c>
    </row>
    <row r="530" spans="1:3" x14ac:dyDescent="0.25">
      <c r="A530" s="8">
        <v>6771979</v>
      </c>
      <c r="B530" s="9" t="s">
        <v>882</v>
      </c>
      <c r="C530" s="8" t="s">
        <v>31</v>
      </c>
    </row>
    <row r="531" spans="1:3" x14ac:dyDescent="0.25">
      <c r="A531" s="8">
        <v>6771980</v>
      </c>
      <c r="B531" s="9" t="s">
        <v>883</v>
      </c>
      <c r="C531" s="8" t="s">
        <v>31</v>
      </c>
    </row>
    <row r="532" spans="1:3" x14ac:dyDescent="0.25">
      <c r="A532" s="8">
        <v>6771981</v>
      </c>
      <c r="B532" s="9" t="s">
        <v>884</v>
      </c>
      <c r="C532" s="8" t="s">
        <v>31</v>
      </c>
    </row>
    <row r="533" spans="1:3" x14ac:dyDescent="0.25">
      <c r="A533" s="8">
        <v>6771982</v>
      </c>
      <c r="B533" s="9" t="s">
        <v>885</v>
      </c>
      <c r="C533" s="8" t="s">
        <v>31</v>
      </c>
    </row>
    <row r="534" spans="1:3" x14ac:dyDescent="0.25">
      <c r="A534" s="8">
        <v>6771983</v>
      </c>
      <c r="B534" s="9" t="s">
        <v>886</v>
      </c>
      <c r="C534" s="8" t="s">
        <v>31</v>
      </c>
    </row>
    <row r="535" spans="1:3" x14ac:dyDescent="0.25">
      <c r="A535" s="8">
        <v>6771984</v>
      </c>
      <c r="B535" s="9" t="s">
        <v>887</v>
      </c>
      <c r="C535" s="8" t="s">
        <v>31</v>
      </c>
    </row>
    <row r="536" spans="1:3" x14ac:dyDescent="0.25">
      <c r="A536" s="8">
        <v>6771985</v>
      </c>
      <c r="B536" s="9" t="s">
        <v>888</v>
      </c>
      <c r="C536" s="8" t="s">
        <v>27</v>
      </c>
    </row>
    <row r="537" spans="1:3" x14ac:dyDescent="0.25">
      <c r="A537" s="8">
        <v>6771986</v>
      </c>
      <c r="B537" s="9" t="s">
        <v>889</v>
      </c>
      <c r="C537" s="8" t="s">
        <v>31</v>
      </c>
    </row>
    <row r="538" spans="1:3" x14ac:dyDescent="0.25">
      <c r="A538" s="8">
        <v>6771987</v>
      </c>
      <c r="B538" s="9" t="s">
        <v>890</v>
      </c>
      <c r="C538" s="8" t="s">
        <v>27</v>
      </c>
    </row>
    <row r="539" spans="1:3" x14ac:dyDescent="0.25">
      <c r="A539" s="8">
        <v>6771988</v>
      </c>
      <c r="B539" s="9" t="s">
        <v>891</v>
      </c>
      <c r="C539" s="8" t="s">
        <v>27</v>
      </c>
    </row>
    <row r="540" spans="1:3" x14ac:dyDescent="0.25">
      <c r="A540" s="8">
        <v>6771989</v>
      </c>
      <c r="B540" s="9" t="s">
        <v>892</v>
      </c>
      <c r="C540" s="8" t="s">
        <v>27</v>
      </c>
    </row>
    <row r="541" spans="1:3" x14ac:dyDescent="0.25">
      <c r="A541" s="8">
        <v>6771990</v>
      </c>
      <c r="B541" s="9" t="s">
        <v>893</v>
      </c>
      <c r="C541" s="8" t="s">
        <v>27</v>
      </c>
    </row>
    <row r="542" spans="1:3" x14ac:dyDescent="0.25">
      <c r="A542" s="8">
        <v>6771992</v>
      </c>
      <c r="B542" s="9" t="s">
        <v>894</v>
      </c>
      <c r="C542" s="8" t="s">
        <v>27</v>
      </c>
    </row>
    <row r="543" spans="1:3" x14ac:dyDescent="0.25">
      <c r="A543" s="8">
        <v>6771993</v>
      </c>
      <c r="B543" s="9" t="s">
        <v>895</v>
      </c>
      <c r="C543" s="8" t="s">
        <v>27</v>
      </c>
    </row>
    <row r="544" spans="1:3" x14ac:dyDescent="0.25">
      <c r="A544" s="8">
        <v>6771994</v>
      </c>
      <c r="B544" s="9" t="s">
        <v>896</v>
      </c>
      <c r="C544" s="8" t="s">
        <v>27</v>
      </c>
    </row>
    <row r="545" spans="1:3" x14ac:dyDescent="0.25">
      <c r="A545" s="8">
        <v>6771995</v>
      </c>
      <c r="B545" s="9" t="s">
        <v>897</v>
      </c>
      <c r="C545" s="8" t="s">
        <v>27</v>
      </c>
    </row>
    <row r="546" spans="1:3" x14ac:dyDescent="0.25">
      <c r="A546" s="8">
        <v>6771996</v>
      </c>
      <c r="B546" s="9" t="s">
        <v>898</v>
      </c>
      <c r="C546" s="8" t="s">
        <v>27</v>
      </c>
    </row>
    <row r="547" spans="1:3" x14ac:dyDescent="0.25">
      <c r="A547" s="8">
        <v>6771997</v>
      </c>
      <c r="B547" s="9" t="s">
        <v>899</v>
      </c>
      <c r="C547" s="8" t="s">
        <v>31</v>
      </c>
    </row>
    <row r="548" spans="1:3" x14ac:dyDescent="0.25">
      <c r="A548" s="8">
        <v>6771998</v>
      </c>
      <c r="B548" s="9" t="s">
        <v>900</v>
      </c>
      <c r="C548" s="8" t="s">
        <v>27</v>
      </c>
    </row>
    <row r="549" spans="1:3" x14ac:dyDescent="0.25">
      <c r="A549" s="8">
        <v>6771999</v>
      </c>
      <c r="B549" s="9" t="s">
        <v>901</v>
      </c>
      <c r="C549" s="8" t="s">
        <v>27</v>
      </c>
    </row>
    <row r="550" spans="1:3" x14ac:dyDescent="0.25">
      <c r="A550" s="8">
        <v>6772000</v>
      </c>
      <c r="B550" s="9" t="s">
        <v>902</v>
      </c>
      <c r="C550" s="8" t="s">
        <v>31</v>
      </c>
    </row>
    <row r="551" spans="1:3" x14ac:dyDescent="0.25">
      <c r="A551" s="8">
        <v>6772001</v>
      </c>
      <c r="B551" s="9" t="s">
        <v>903</v>
      </c>
      <c r="C551" s="8" t="s">
        <v>27</v>
      </c>
    </row>
    <row r="552" spans="1:3" x14ac:dyDescent="0.25">
      <c r="A552" s="8">
        <v>6772002</v>
      </c>
      <c r="B552" s="9" t="s">
        <v>904</v>
      </c>
      <c r="C552" s="8" t="s">
        <v>27</v>
      </c>
    </row>
    <row r="553" spans="1:3" x14ac:dyDescent="0.25">
      <c r="A553" s="8">
        <v>6772004</v>
      </c>
      <c r="B553" s="9" t="s">
        <v>905</v>
      </c>
      <c r="C553" s="8" t="s">
        <v>27</v>
      </c>
    </row>
    <row r="554" spans="1:3" x14ac:dyDescent="0.25">
      <c r="A554" s="8">
        <v>6772005</v>
      </c>
      <c r="B554" s="9" t="s">
        <v>906</v>
      </c>
      <c r="C554" s="8" t="s">
        <v>27</v>
      </c>
    </row>
    <row r="555" spans="1:3" x14ac:dyDescent="0.25">
      <c r="A555" s="8">
        <v>6772006</v>
      </c>
      <c r="B555" s="9" t="s">
        <v>907</v>
      </c>
      <c r="C555" s="8" t="s">
        <v>27</v>
      </c>
    </row>
    <row r="556" spans="1:3" x14ac:dyDescent="0.25">
      <c r="A556" s="8">
        <v>6772007</v>
      </c>
      <c r="B556" s="9" t="s">
        <v>908</v>
      </c>
      <c r="C556" s="8" t="s">
        <v>27</v>
      </c>
    </row>
    <row r="557" spans="1:3" x14ac:dyDescent="0.25">
      <c r="A557" s="8">
        <v>6772008</v>
      </c>
      <c r="B557" s="9" t="s">
        <v>909</v>
      </c>
      <c r="C557" s="8" t="s">
        <v>27</v>
      </c>
    </row>
    <row r="558" spans="1:3" x14ac:dyDescent="0.25">
      <c r="A558" s="8">
        <v>6772009</v>
      </c>
      <c r="B558" s="9" t="s">
        <v>910</v>
      </c>
      <c r="C558" s="8" t="s">
        <v>27</v>
      </c>
    </row>
    <row r="559" spans="1:3" x14ac:dyDescent="0.25">
      <c r="A559" s="8">
        <v>6772010</v>
      </c>
      <c r="B559" s="9" t="s">
        <v>911</v>
      </c>
      <c r="C559" s="8" t="s">
        <v>27</v>
      </c>
    </row>
    <row r="560" spans="1:3" x14ac:dyDescent="0.25">
      <c r="A560" s="8">
        <v>6772014</v>
      </c>
      <c r="B560" s="9" t="s">
        <v>912</v>
      </c>
      <c r="C560" s="8" t="s">
        <v>26</v>
      </c>
    </row>
    <row r="561" spans="1:3" x14ac:dyDescent="0.25">
      <c r="A561" s="8">
        <v>6772015</v>
      </c>
      <c r="B561" s="9" t="s">
        <v>913</v>
      </c>
      <c r="C561" s="8" t="s">
        <v>26</v>
      </c>
    </row>
    <row r="562" spans="1:3" x14ac:dyDescent="0.25">
      <c r="A562" s="8">
        <v>6772016</v>
      </c>
      <c r="B562" s="9" t="s">
        <v>269</v>
      </c>
      <c r="C562" s="8" t="s">
        <v>26</v>
      </c>
    </row>
    <row r="563" spans="1:3" x14ac:dyDescent="0.25">
      <c r="A563" s="8">
        <v>6772017</v>
      </c>
      <c r="B563" s="9" t="s">
        <v>270</v>
      </c>
      <c r="C563" s="8" t="s">
        <v>26</v>
      </c>
    </row>
    <row r="564" spans="1:3" x14ac:dyDescent="0.25">
      <c r="A564" s="8">
        <v>6772018</v>
      </c>
      <c r="B564" s="9" t="s">
        <v>276</v>
      </c>
      <c r="C564" s="8" t="s">
        <v>26</v>
      </c>
    </row>
    <row r="565" spans="1:3" x14ac:dyDescent="0.25">
      <c r="A565" s="8">
        <v>6772019</v>
      </c>
      <c r="B565" s="9" t="s">
        <v>271</v>
      </c>
      <c r="C565" s="8" t="s">
        <v>26</v>
      </c>
    </row>
    <row r="566" spans="1:3" x14ac:dyDescent="0.25">
      <c r="A566" s="8">
        <v>6772020</v>
      </c>
      <c r="B566" s="9" t="s">
        <v>272</v>
      </c>
      <c r="C566" s="8" t="s">
        <v>26</v>
      </c>
    </row>
    <row r="567" spans="1:3" x14ac:dyDescent="0.25">
      <c r="A567" s="8">
        <v>6772021</v>
      </c>
      <c r="B567" s="9" t="s">
        <v>273</v>
      </c>
      <c r="C567" s="8" t="s">
        <v>26</v>
      </c>
    </row>
    <row r="568" spans="1:3" x14ac:dyDescent="0.25">
      <c r="A568" s="8">
        <v>6772022</v>
      </c>
      <c r="B568" s="9" t="s">
        <v>274</v>
      </c>
      <c r="C568" s="8" t="s">
        <v>26</v>
      </c>
    </row>
    <row r="569" spans="1:3" x14ac:dyDescent="0.25">
      <c r="A569" s="8">
        <v>6772023</v>
      </c>
      <c r="B569" s="9" t="s">
        <v>266</v>
      </c>
      <c r="C569" s="8" t="s">
        <v>26</v>
      </c>
    </row>
    <row r="570" spans="1:3" x14ac:dyDescent="0.25">
      <c r="A570" s="8">
        <v>6772024</v>
      </c>
      <c r="B570" s="9" t="s">
        <v>267</v>
      </c>
      <c r="C570" s="8" t="s">
        <v>26</v>
      </c>
    </row>
    <row r="571" spans="1:3" x14ac:dyDescent="0.25">
      <c r="A571" s="8">
        <v>6772025</v>
      </c>
      <c r="B571" s="9" t="s">
        <v>268</v>
      </c>
      <c r="C571" s="8" t="s">
        <v>26</v>
      </c>
    </row>
    <row r="572" spans="1:3" x14ac:dyDescent="0.25">
      <c r="A572" s="8">
        <v>6772026</v>
      </c>
      <c r="B572" s="9" t="s">
        <v>49</v>
      </c>
      <c r="C572" s="8" t="s">
        <v>26</v>
      </c>
    </row>
    <row r="573" spans="1:3" x14ac:dyDescent="0.25">
      <c r="A573" s="8">
        <v>6772027</v>
      </c>
      <c r="B573" s="9" t="s">
        <v>377</v>
      </c>
      <c r="C573" s="8" t="s">
        <v>26</v>
      </c>
    </row>
    <row r="574" spans="1:3" x14ac:dyDescent="0.25">
      <c r="A574" s="8">
        <v>6772028</v>
      </c>
      <c r="B574" s="9" t="s">
        <v>376</v>
      </c>
      <c r="C574" s="8" t="s">
        <v>26</v>
      </c>
    </row>
    <row r="575" spans="1:3" x14ac:dyDescent="0.25">
      <c r="A575" s="8">
        <v>6772029</v>
      </c>
      <c r="B575" s="9" t="s">
        <v>378</v>
      </c>
      <c r="C575" s="8" t="s">
        <v>26</v>
      </c>
    </row>
    <row r="576" spans="1:3" x14ac:dyDescent="0.25">
      <c r="A576" s="8">
        <v>6772030</v>
      </c>
      <c r="B576" s="9" t="s">
        <v>385</v>
      </c>
      <c r="C576" s="8" t="s">
        <v>26</v>
      </c>
    </row>
    <row r="577" spans="1:3" x14ac:dyDescent="0.25">
      <c r="A577" s="8">
        <v>6772031</v>
      </c>
      <c r="B577" s="9" t="s">
        <v>383</v>
      </c>
      <c r="C577" s="8" t="s">
        <v>26</v>
      </c>
    </row>
    <row r="578" spans="1:3" x14ac:dyDescent="0.25">
      <c r="A578" s="8">
        <v>6772032</v>
      </c>
      <c r="B578" s="9" t="s">
        <v>386</v>
      </c>
      <c r="C578" s="8" t="s">
        <v>26</v>
      </c>
    </row>
    <row r="579" spans="1:3" x14ac:dyDescent="0.25">
      <c r="A579" s="8">
        <v>6772033</v>
      </c>
      <c r="B579" s="9" t="s">
        <v>387</v>
      </c>
      <c r="C579" s="8" t="s">
        <v>26</v>
      </c>
    </row>
    <row r="580" spans="1:3" x14ac:dyDescent="0.25">
      <c r="A580" s="8">
        <v>6772034</v>
      </c>
      <c r="B580" s="9" t="s">
        <v>914</v>
      </c>
      <c r="C580" s="8" t="s">
        <v>28</v>
      </c>
    </row>
    <row r="581" spans="1:3" x14ac:dyDescent="0.25">
      <c r="A581" s="8">
        <v>6772035</v>
      </c>
      <c r="B581" s="9" t="s">
        <v>915</v>
      </c>
      <c r="C581" s="8" t="s">
        <v>28</v>
      </c>
    </row>
    <row r="582" spans="1:3" x14ac:dyDescent="0.25">
      <c r="A582" s="8">
        <v>6772036</v>
      </c>
      <c r="B582" s="9" t="s">
        <v>916</v>
      </c>
      <c r="C582" s="8" t="s">
        <v>28</v>
      </c>
    </row>
    <row r="583" spans="1:3" x14ac:dyDescent="0.25">
      <c r="A583" s="8">
        <v>6772037</v>
      </c>
      <c r="B583" s="9" t="s">
        <v>917</v>
      </c>
      <c r="C583" s="8" t="s">
        <v>28</v>
      </c>
    </row>
    <row r="584" spans="1:3" x14ac:dyDescent="0.25">
      <c r="A584" s="8">
        <v>6772038</v>
      </c>
      <c r="B584" s="9" t="s">
        <v>918</v>
      </c>
      <c r="C584" s="8" t="s">
        <v>28</v>
      </c>
    </row>
    <row r="585" spans="1:3" x14ac:dyDescent="0.25">
      <c r="A585" s="8">
        <v>6772039</v>
      </c>
      <c r="B585" s="9" t="s">
        <v>919</v>
      </c>
      <c r="C585" s="8" t="s">
        <v>28</v>
      </c>
    </row>
    <row r="586" spans="1:3" x14ac:dyDescent="0.25">
      <c r="A586" s="8">
        <v>6772040</v>
      </c>
      <c r="B586" s="9" t="s">
        <v>920</v>
      </c>
      <c r="C586" s="8" t="s">
        <v>26</v>
      </c>
    </row>
    <row r="587" spans="1:3" x14ac:dyDescent="0.25">
      <c r="A587" s="8">
        <v>6772041</v>
      </c>
      <c r="B587" s="9" t="s">
        <v>921</v>
      </c>
      <c r="C587" s="8" t="s">
        <v>26</v>
      </c>
    </row>
    <row r="588" spans="1:3" x14ac:dyDescent="0.25">
      <c r="A588" s="8">
        <v>6772042</v>
      </c>
      <c r="B588" s="9" t="s">
        <v>922</v>
      </c>
      <c r="C588" s="8" t="s">
        <v>26</v>
      </c>
    </row>
    <row r="589" spans="1:3" x14ac:dyDescent="0.25">
      <c r="A589" s="8">
        <v>6772043</v>
      </c>
      <c r="B589" s="9" t="s">
        <v>923</v>
      </c>
      <c r="C589" s="8" t="s">
        <v>26</v>
      </c>
    </row>
    <row r="590" spans="1:3" x14ac:dyDescent="0.25">
      <c r="A590" s="8">
        <v>6772044</v>
      </c>
      <c r="B590" s="9" t="s">
        <v>924</v>
      </c>
      <c r="C590" s="8" t="s">
        <v>26</v>
      </c>
    </row>
    <row r="591" spans="1:3" x14ac:dyDescent="0.25">
      <c r="A591" s="8">
        <v>6772045</v>
      </c>
      <c r="B591" s="9" t="s">
        <v>925</v>
      </c>
      <c r="C591" s="8" t="s">
        <v>26</v>
      </c>
    </row>
    <row r="592" spans="1:3" x14ac:dyDescent="0.25">
      <c r="A592" s="8">
        <v>6772046</v>
      </c>
      <c r="B592" s="9" t="s">
        <v>926</v>
      </c>
      <c r="C592" s="8" t="s">
        <v>26</v>
      </c>
    </row>
    <row r="593" spans="1:3" x14ac:dyDescent="0.25">
      <c r="A593" s="8">
        <v>6772047</v>
      </c>
      <c r="B593" s="9" t="s">
        <v>927</v>
      </c>
      <c r="C593" s="8" t="s">
        <v>26</v>
      </c>
    </row>
    <row r="594" spans="1:3" x14ac:dyDescent="0.25">
      <c r="A594" s="8">
        <v>6772048</v>
      </c>
      <c r="B594" s="9" t="s">
        <v>928</v>
      </c>
      <c r="C594" s="8" t="s">
        <v>26</v>
      </c>
    </row>
    <row r="595" spans="1:3" x14ac:dyDescent="0.25">
      <c r="A595" s="8">
        <v>6772049</v>
      </c>
      <c r="B595" s="9" t="s">
        <v>929</v>
      </c>
      <c r="C595" s="8" t="s">
        <v>26</v>
      </c>
    </row>
    <row r="596" spans="1:3" x14ac:dyDescent="0.25">
      <c r="A596" s="8">
        <v>6772050</v>
      </c>
      <c r="B596" s="9" t="s">
        <v>375</v>
      </c>
      <c r="C596" s="8" t="s">
        <v>26</v>
      </c>
    </row>
    <row r="597" spans="1:3" x14ac:dyDescent="0.25">
      <c r="A597" s="8">
        <v>6772051</v>
      </c>
      <c r="B597" s="9" t="s">
        <v>930</v>
      </c>
      <c r="C597" s="8" t="s">
        <v>26</v>
      </c>
    </row>
    <row r="598" spans="1:3" x14ac:dyDescent="0.25">
      <c r="A598" s="8">
        <v>6772052</v>
      </c>
      <c r="B598" s="9" t="s">
        <v>264</v>
      </c>
      <c r="C598" s="8" t="s">
        <v>26</v>
      </c>
    </row>
    <row r="599" spans="1:3" x14ac:dyDescent="0.25">
      <c r="A599" s="8">
        <v>6772053</v>
      </c>
      <c r="B599" s="9" t="s">
        <v>265</v>
      </c>
      <c r="C599" s="8" t="s">
        <v>26</v>
      </c>
    </row>
    <row r="600" spans="1:3" x14ac:dyDescent="0.25">
      <c r="A600" s="8">
        <v>6772054</v>
      </c>
      <c r="B600" s="9" t="s">
        <v>931</v>
      </c>
      <c r="C600" s="8" t="s">
        <v>26</v>
      </c>
    </row>
    <row r="601" spans="1:3" x14ac:dyDescent="0.25">
      <c r="A601" s="8">
        <v>6772055</v>
      </c>
      <c r="B601" s="9" t="s">
        <v>932</v>
      </c>
      <c r="C601" s="8" t="s">
        <v>28</v>
      </c>
    </row>
    <row r="602" spans="1:3" x14ac:dyDescent="0.25">
      <c r="A602" s="8">
        <v>6772056</v>
      </c>
      <c r="B602" s="9" t="s">
        <v>933</v>
      </c>
      <c r="C602" s="8" t="s">
        <v>26</v>
      </c>
    </row>
    <row r="603" spans="1:3" x14ac:dyDescent="0.25">
      <c r="A603" s="8">
        <v>6772057</v>
      </c>
      <c r="B603" s="9" t="s">
        <v>934</v>
      </c>
      <c r="C603" s="8" t="s">
        <v>26</v>
      </c>
    </row>
    <row r="604" spans="1:3" x14ac:dyDescent="0.25">
      <c r="A604" s="8">
        <v>6772058</v>
      </c>
      <c r="B604" s="9" t="s">
        <v>935</v>
      </c>
      <c r="C604" s="8" t="s">
        <v>26</v>
      </c>
    </row>
    <row r="605" spans="1:3" x14ac:dyDescent="0.25">
      <c r="A605" s="8">
        <v>6772059</v>
      </c>
      <c r="B605" s="9" t="s">
        <v>936</v>
      </c>
      <c r="C605" s="8" t="s">
        <v>26</v>
      </c>
    </row>
    <row r="606" spans="1:3" x14ac:dyDescent="0.25">
      <c r="A606" s="8">
        <v>6772060</v>
      </c>
      <c r="B606" s="9" t="s">
        <v>245</v>
      </c>
      <c r="C606" s="8" t="s">
        <v>26</v>
      </c>
    </row>
    <row r="607" spans="1:3" x14ac:dyDescent="0.25">
      <c r="A607" s="8">
        <v>6772061</v>
      </c>
      <c r="B607" s="9" t="s">
        <v>937</v>
      </c>
      <c r="C607" s="8" t="s">
        <v>26</v>
      </c>
    </row>
    <row r="608" spans="1:3" x14ac:dyDescent="0.25">
      <c r="A608" s="8">
        <v>6772062</v>
      </c>
      <c r="B608" s="9" t="s">
        <v>938</v>
      </c>
      <c r="C608" s="8" t="s">
        <v>26</v>
      </c>
    </row>
    <row r="609" spans="1:3" x14ac:dyDescent="0.25">
      <c r="A609" s="8">
        <v>6772063</v>
      </c>
      <c r="B609" s="9" t="s">
        <v>939</v>
      </c>
      <c r="C609" s="8" t="s">
        <v>26</v>
      </c>
    </row>
    <row r="610" spans="1:3" x14ac:dyDescent="0.25">
      <c r="A610" s="8">
        <v>6772064</v>
      </c>
      <c r="B610" s="9" t="s">
        <v>940</v>
      </c>
      <c r="C610" s="8" t="s">
        <v>28</v>
      </c>
    </row>
    <row r="611" spans="1:3" x14ac:dyDescent="0.25">
      <c r="A611" s="8">
        <v>6772065</v>
      </c>
      <c r="B611" s="9" t="s">
        <v>941</v>
      </c>
      <c r="C611" s="8" t="s">
        <v>28</v>
      </c>
    </row>
    <row r="612" spans="1:3" x14ac:dyDescent="0.25">
      <c r="A612" s="8">
        <v>6772066</v>
      </c>
      <c r="B612" s="9" t="s">
        <v>942</v>
      </c>
      <c r="C612" s="8" t="s">
        <v>26</v>
      </c>
    </row>
    <row r="613" spans="1:3" x14ac:dyDescent="0.25">
      <c r="A613" s="8">
        <v>6772068</v>
      </c>
      <c r="B613" s="9" t="s">
        <v>943</v>
      </c>
      <c r="C613" s="8" t="s">
        <v>26</v>
      </c>
    </row>
    <row r="614" spans="1:3" x14ac:dyDescent="0.25">
      <c r="A614" s="8">
        <v>6772069</v>
      </c>
      <c r="B614" s="9" t="s">
        <v>943</v>
      </c>
      <c r="C614" s="8" t="s">
        <v>26</v>
      </c>
    </row>
    <row r="615" spans="1:3" x14ac:dyDescent="0.25">
      <c r="A615" s="8">
        <v>6772070</v>
      </c>
      <c r="B615" s="9" t="s">
        <v>944</v>
      </c>
      <c r="C615" s="8" t="s">
        <v>26</v>
      </c>
    </row>
    <row r="616" spans="1:3" x14ac:dyDescent="0.25">
      <c r="A616" s="8">
        <v>6772071</v>
      </c>
      <c r="B616" s="9" t="s">
        <v>944</v>
      </c>
      <c r="C616" s="8" t="s">
        <v>26</v>
      </c>
    </row>
    <row r="617" spans="1:3" x14ac:dyDescent="0.25">
      <c r="A617" s="8">
        <v>6772073</v>
      </c>
      <c r="B617" s="9" t="s">
        <v>945</v>
      </c>
      <c r="C617" s="8" t="s">
        <v>26</v>
      </c>
    </row>
    <row r="618" spans="1:3" x14ac:dyDescent="0.25">
      <c r="A618" s="8">
        <v>6772074</v>
      </c>
      <c r="B618" s="9" t="s">
        <v>946</v>
      </c>
      <c r="C618" s="8" t="s">
        <v>26</v>
      </c>
    </row>
    <row r="619" spans="1:3" x14ac:dyDescent="0.25">
      <c r="A619" s="8">
        <v>6772075</v>
      </c>
      <c r="B619" s="9" t="s">
        <v>946</v>
      </c>
      <c r="C619" s="8" t="s">
        <v>26</v>
      </c>
    </row>
    <row r="620" spans="1:3" x14ac:dyDescent="0.25">
      <c r="A620" s="8">
        <v>6772076</v>
      </c>
      <c r="B620" s="9" t="s">
        <v>947</v>
      </c>
      <c r="C620" s="8" t="s">
        <v>26</v>
      </c>
    </row>
    <row r="621" spans="1:3" x14ac:dyDescent="0.25">
      <c r="A621" s="8">
        <v>6772077</v>
      </c>
      <c r="B621" s="9" t="s">
        <v>948</v>
      </c>
      <c r="C621" s="8" t="s">
        <v>26</v>
      </c>
    </row>
    <row r="622" spans="1:3" x14ac:dyDescent="0.25">
      <c r="A622" s="8">
        <v>6772078</v>
      </c>
      <c r="B622" s="9" t="s">
        <v>949</v>
      </c>
      <c r="C622" s="8" t="s">
        <v>26</v>
      </c>
    </row>
    <row r="623" spans="1:3" x14ac:dyDescent="0.25">
      <c r="A623" s="8">
        <v>6772079</v>
      </c>
      <c r="B623" s="9" t="s">
        <v>949</v>
      </c>
      <c r="C623" s="8" t="s">
        <v>26</v>
      </c>
    </row>
    <row r="624" spans="1:3" x14ac:dyDescent="0.25">
      <c r="A624" s="8">
        <v>6772081</v>
      </c>
      <c r="B624" s="9" t="s">
        <v>950</v>
      </c>
      <c r="C624" s="8" t="s">
        <v>26</v>
      </c>
    </row>
    <row r="625" spans="1:3" x14ac:dyDescent="0.25">
      <c r="A625" s="8">
        <v>6772083</v>
      </c>
      <c r="B625" s="9" t="s">
        <v>951</v>
      </c>
      <c r="C625" s="8" t="s">
        <v>26</v>
      </c>
    </row>
    <row r="626" spans="1:3" x14ac:dyDescent="0.25">
      <c r="A626" s="8">
        <v>6772084</v>
      </c>
      <c r="B626" s="9" t="s">
        <v>952</v>
      </c>
      <c r="C626" s="8" t="s">
        <v>26</v>
      </c>
    </row>
    <row r="627" spans="1:3" x14ac:dyDescent="0.25">
      <c r="A627" s="8">
        <v>6772085</v>
      </c>
      <c r="B627" s="9" t="s">
        <v>953</v>
      </c>
      <c r="C627" s="8" t="s">
        <v>26</v>
      </c>
    </row>
    <row r="628" spans="1:3" x14ac:dyDescent="0.25">
      <c r="A628" s="8">
        <v>6772087</v>
      </c>
      <c r="B628" s="9" t="s">
        <v>954</v>
      </c>
      <c r="C628" s="8" t="s">
        <v>26</v>
      </c>
    </row>
    <row r="629" spans="1:3" x14ac:dyDescent="0.25">
      <c r="A629" s="8">
        <v>6772089</v>
      </c>
      <c r="B629" s="9" t="s">
        <v>955</v>
      </c>
      <c r="C629" s="8" t="s">
        <v>26</v>
      </c>
    </row>
    <row r="630" spans="1:3" x14ac:dyDescent="0.25">
      <c r="A630" s="8">
        <v>6772090</v>
      </c>
      <c r="B630" s="9" t="s">
        <v>956</v>
      </c>
      <c r="C630" s="8" t="s">
        <v>28</v>
      </c>
    </row>
    <row r="631" spans="1:3" x14ac:dyDescent="0.25">
      <c r="A631" s="8">
        <v>6772092</v>
      </c>
      <c r="B631" s="9" t="s">
        <v>256</v>
      </c>
      <c r="C631" s="8" t="s">
        <v>26</v>
      </c>
    </row>
    <row r="632" spans="1:3" x14ac:dyDescent="0.25">
      <c r="A632" s="8">
        <v>6772093</v>
      </c>
      <c r="B632" s="9" t="s">
        <v>255</v>
      </c>
      <c r="C632" s="8" t="s">
        <v>26</v>
      </c>
    </row>
    <row r="633" spans="1:3" x14ac:dyDescent="0.25">
      <c r="A633" s="8">
        <v>6772094</v>
      </c>
      <c r="B633" s="9" t="s">
        <v>957</v>
      </c>
      <c r="C633" s="8" t="s">
        <v>28</v>
      </c>
    </row>
    <row r="634" spans="1:3" x14ac:dyDescent="0.25">
      <c r="A634" s="8">
        <v>6772095</v>
      </c>
      <c r="B634" s="9" t="s">
        <v>958</v>
      </c>
      <c r="C634" s="8" t="s">
        <v>26</v>
      </c>
    </row>
    <row r="635" spans="1:3" x14ac:dyDescent="0.25">
      <c r="A635" s="8">
        <v>6772096</v>
      </c>
      <c r="B635" s="9" t="s">
        <v>959</v>
      </c>
      <c r="C635" s="8" t="s">
        <v>26</v>
      </c>
    </row>
    <row r="636" spans="1:3" x14ac:dyDescent="0.25">
      <c r="A636" s="8">
        <v>6772097</v>
      </c>
      <c r="B636" s="9" t="s">
        <v>960</v>
      </c>
      <c r="C636" s="8" t="s">
        <v>26</v>
      </c>
    </row>
    <row r="637" spans="1:3" x14ac:dyDescent="0.25">
      <c r="A637" s="8">
        <v>6772099</v>
      </c>
      <c r="B637" s="9" t="s">
        <v>253</v>
      </c>
      <c r="C637" s="8" t="s">
        <v>26</v>
      </c>
    </row>
    <row r="638" spans="1:3" x14ac:dyDescent="0.25">
      <c r="A638" s="8">
        <v>6772100</v>
      </c>
      <c r="B638" s="9" t="s">
        <v>50</v>
      </c>
      <c r="C638" s="8" t="s">
        <v>26</v>
      </c>
    </row>
    <row r="639" spans="1:3" x14ac:dyDescent="0.25">
      <c r="A639" s="8">
        <v>6772101</v>
      </c>
      <c r="B639" s="9" t="s">
        <v>961</v>
      </c>
      <c r="C639" s="8" t="s">
        <v>28</v>
      </c>
    </row>
    <row r="640" spans="1:3" x14ac:dyDescent="0.25">
      <c r="A640" s="8">
        <v>6772102</v>
      </c>
      <c r="B640" s="9" t="s">
        <v>962</v>
      </c>
      <c r="C640" s="8" t="s">
        <v>26</v>
      </c>
    </row>
    <row r="641" spans="1:3" x14ac:dyDescent="0.25">
      <c r="A641" s="8">
        <v>6772103</v>
      </c>
      <c r="B641" s="9" t="s">
        <v>963</v>
      </c>
      <c r="C641" s="8" t="s">
        <v>26</v>
      </c>
    </row>
    <row r="642" spans="1:3" x14ac:dyDescent="0.25">
      <c r="A642" s="8">
        <v>6772104</v>
      </c>
      <c r="B642" s="9" t="s">
        <v>964</v>
      </c>
      <c r="C642" s="8" t="s">
        <v>26</v>
      </c>
    </row>
    <row r="643" spans="1:3" x14ac:dyDescent="0.25">
      <c r="A643" s="8">
        <v>6772106</v>
      </c>
      <c r="B643" s="9" t="s">
        <v>964</v>
      </c>
      <c r="C643" s="8" t="s">
        <v>26</v>
      </c>
    </row>
    <row r="644" spans="1:3" x14ac:dyDescent="0.25">
      <c r="A644" s="8">
        <v>6772107</v>
      </c>
      <c r="B644" s="9" t="s">
        <v>965</v>
      </c>
      <c r="C644" s="8" t="s">
        <v>26</v>
      </c>
    </row>
    <row r="645" spans="1:3" x14ac:dyDescent="0.25">
      <c r="A645" s="8">
        <v>6772109</v>
      </c>
      <c r="B645" s="9" t="s">
        <v>964</v>
      </c>
      <c r="C645" s="8" t="s">
        <v>26</v>
      </c>
    </row>
    <row r="646" spans="1:3" x14ac:dyDescent="0.25">
      <c r="A646" s="8">
        <v>6772110</v>
      </c>
      <c r="B646" s="9" t="s">
        <v>966</v>
      </c>
      <c r="C646" s="8" t="s">
        <v>31</v>
      </c>
    </row>
    <row r="647" spans="1:3" x14ac:dyDescent="0.25">
      <c r="A647" s="8">
        <v>6772111</v>
      </c>
      <c r="B647" s="9" t="s">
        <v>967</v>
      </c>
      <c r="C647" s="8" t="s">
        <v>26</v>
      </c>
    </row>
    <row r="648" spans="1:3" x14ac:dyDescent="0.25">
      <c r="A648" s="8">
        <v>6772114</v>
      </c>
      <c r="B648" s="9" t="s">
        <v>51</v>
      </c>
      <c r="C648" s="8" t="s">
        <v>26</v>
      </c>
    </row>
    <row r="649" spans="1:3" x14ac:dyDescent="0.25">
      <c r="A649" s="8">
        <v>6772115</v>
      </c>
      <c r="B649" s="9" t="s">
        <v>968</v>
      </c>
      <c r="C649" s="8" t="s">
        <v>26</v>
      </c>
    </row>
    <row r="650" spans="1:3" x14ac:dyDescent="0.25">
      <c r="A650" s="8">
        <v>6772116</v>
      </c>
      <c r="B650" s="9" t="s">
        <v>969</v>
      </c>
      <c r="C650" s="8" t="s">
        <v>26</v>
      </c>
    </row>
    <row r="651" spans="1:3" x14ac:dyDescent="0.25">
      <c r="A651" s="8">
        <v>6772117</v>
      </c>
      <c r="B651" s="9" t="s">
        <v>314</v>
      </c>
      <c r="C651" s="8" t="s">
        <v>26</v>
      </c>
    </row>
    <row r="652" spans="1:3" x14ac:dyDescent="0.25">
      <c r="A652" s="8">
        <v>6772118</v>
      </c>
      <c r="B652" s="9" t="s">
        <v>319</v>
      </c>
      <c r="C652" s="8" t="s">
        <v>26</v>
      </c>
    </row>
    <row r="653" spans="1:3" x14ac:dyDescent="0.25">
      <c r="A653" s="8">
        <v>6772120</v>
      </c>
      <c r="B653" s="9" t="s">
        <v>970</v>
      </c>
      <c r="C653" s="8" t="s">
        <v>26</v>
      </c>
    </row>
    <row r="654" spans="1:3" x14ac:dyDescent="0.25">
      <c r="A654" s="8">
        <v>6772121</v>
      </c>
      <c r="B654" s="9" t="s">
        <v>971</v>
      </c>
      <c r="C654" s="8" t="s">
        <v>26</v>
      </c>
    </row>
    <row r="655" spans="1:3" x14ac:dyDescent="0.25">
      <c r="A655" s="8">
        <v>6772122</v>
      </c>
      <c r="B655" s="9" t="s">
        <v>972</v>
      </c>
      <c r="C655" s="8" t="s">
        <v>26</v>
      </c>
    </row>
    <row r="656" spans="1:3" x14ac:dyDescent="0.25">
      <c r="A656" s="8">
        <v>6772123</v>
      </c>
      <c r="B656" s="9" t="s">
        <v>973</v>
      </c>
      <c r="C656" s="8" t="s">
        <v>26</v>
      </c>
    </row>
    <row r="657" spans="1:3" x14ac:dyDescent="0.25">
      <c r="A657" s="8">
        <v>6772124</v>
      </c>
      <c r="B657" s="9" t="s">
        <v>974</v>
      </c>
      <c r="C657" s="8" t="s">
        <v>26</v>
      </c>
    </row>
    <row r="658" spans="1:3" x14ac:dyDescent="0.25">
      <c r="A658" s="8">
        <v>6772125</v>
      </c>
      <c r="B658" s="9" t="s">
        <v>975</v>
      </c>
      <c r="C658" s="8" t="s">
        <v>28</v>
      </c>
    </row>
    <row r="659" spans="1:3" x14ac:dyDescent="0.25">
      <c r="A659" s="8">
        <v>6772126</v>
      </c>
      <c r="B659" s="9" t="s">
        <v>52</v>
      </c>
      <c r="C659" s="8" t="s">
        <v>26</v>
      </c>
    </row>
    <row r="660" spans="1:3" x14ac:dyDescent="0.25">
      <c r="A660" s="8">
        <v>6772127</v>
      </c>
      <c r="B660" s="9" t="s">
        <v>976</v>
      </c>
      <c r="C660" s="8" t="s">
        <v>28</v>
      </c>
    </row>
    <row r="661" spans="1:3" x14ac:dyDescent="0.25">
      <c r="A661" s="8">
        <v>6772128</v>
      </c>
      <c r="B661" s="9" t="s">
        <v>977</v>
      </c>
      <c r="C661" s="8" t="s">
        <v>26</v>
      </c>
    </row>
    <row r="662" spans="1:3" x14ac:dyDescent="0.25">
      <c r="A662" s="8">
        <v>6772130</v>
      </c>
      <c r="B662" s="9" t="s">
        <v>315</v>
      </c>
      <c r="C662" s="8" t="s">
        <v>26</v>
      </c>
    </row>
    <row r="663" spans="1:3" x14ac:dyDescent="0.25">
      <c r="A663" s="8">
        <v>6772132</v>
      </c>
      <c r="B663" s="9" t="s">
        <v>978</v>
      </c>
      <c r="C663" s="8" t="s">
        <v>26</v>
      </c>
    </row>
    <row r="664" spans="1:3" x14ac:dyDescent="0.25">
      <c r="A664" s="8">
        <v>6772133</v>
      </c>
      <c r="B664" s="9" t="s">
        <v>978</v>
      </c>
      <c r="C664" s="8" t="s">
        <v>26</v>
      </c>
    </row>
    <row r="665" spans="1:3" x14ac:dyDescent="0.25">
      <c r="A665" s="8">
        <v>6772134</v>
      </c>
      <c r="B665" s="9" t="s">
        <v>979</v>
      </c>
      <c r="C665" s="8" t="s">
        <v>26</v>
      </c>
    </row>
    <row r="666" spans="1:3" x14ac:dyDescent="0.25">
      <c r="A666" s="8">
        <v>6772135</v>
      </c>
      <c r="B666" s="9" t="s">
        <v>980</v>
      </c>
      <c r="C666" s="8" t="s">
        <v>26</v>
      </c>
    </row>
    <row r="667" spans="1:3" x14ac:dyDescent="0.25">
      <c r="A667" s="8">
        <v>6772137</v>
      </c>
      <c r="B667" s="9" t="s">
        <v>981</v>
      </c>
      <c r="C667" s="8" t="s">
        <v>26</v>
      </c>
    </row>
    <row r="668" spans="1:3" x14ac:dyDescent="0.25">
      <c r="A668" s="8">
        <v>6772138</v>
      </c>
      <c r="B668" s="9" t="s">
        <v>978</v>
      </c>
      <c r="C668" s="8" t="s">
        <v>26</v>
      </c>
    </row>
    <row r="669" spans="1:3" x14ac:dyDescent="0.25">
      <c r="A669" s="8">
        <v>6772139</v>
      </c>
      <c r="B669" s="9" t="s">
        <v>982</v>
      </c>
      <c r="C669" s="8" t="s">
        <v>26</v>
      </c>
    </row>
    <row r="670" spans="1:3" x14ac:dyDescent="0.25">
      <c r="A670" s="8">
        <v>6772140</v>
      </c>
      <c r="B670" s="9" t="s">
        <v>983</v>
      </c>
      <c r="C670" s="8" t="s">
        <v>26</v>
      </c>
    </row>
    <row r="671" spans="1:3" x14ac:dyDescent="0.25">
      <c r="A671" s="8">
        <v>6772141</v>
      </c>
      <c r="B671" s="9" t="s">
        <v>366</v>
      </c>
      <c r="C671" s="8" t="s">
        <v>26</v>
      </c>
    </row>
    <row r="672" spans="1:3" x14ac:dyDescent="0.25">
      <c r="A672" s="8">
        <v>6772142</v>
      </c>
      <c r="B672" s="9" t="s">
        <v>984</v>
      </c>
      <c r="C672" s="8" t="s">
        <v>28</v>
      </c>
    </row>
    <row r="673" spans="1:3" x14ac:dyDescent="0.25">
      <c r="A673" s="8">
        <v>6772143</v>
      </c>
      <c r="B673" s="9" t="s">
        <v>313</v>
      </c>
      <c r="C673" s="8" t="s">
        <v>26</v>
      </c>
    </row>
    <row r="674" spans="1:3" x14ac:dyDescent="0.25">
      <c r="A674" s="8">
        <v>6772144</v>
      </c>
      <c r="B674" s="9" t="s">
        <v>53</v>
      </c>
      <c r="C674" s="8" t="s">
        <v>26</v>
      </c>
    </row>
    <row r="675" spans="1:3" x14ac:dyDescent="0.25">
      <c r="A675" s="8">
        <v>6772145</v>
      </c>
      <c r="B675" s="9" t="s">
        <v>985</v>
      </c>
      <c r="C675" s="8" t="s">
        <v>28</v>
      </c>
    </row>
    <row r="676" spans="1:3" x14ac:dyDescent="0.25">
      <c r="A676" s="8">
        <v>6772146</v>
      </c>
      <c r="B676" s="9" t="s">
        <v>986</v>
      </c>
      <c r="C676" s="8" t="s">
        <v>26</v>
      </c>
    </row>
    <row r="677" spans="1:3" x14ac:dyDescent="0.25">
      <c r="A677" s="8">
        <v>6772147</v>
      </c>
      <c r="B677" s="9" t="s">
        <v>987</v>
      </c>
      <c r="C677" s="8" t="s">
        <v>26</v>
      </c>
    </row>
    <row r="678" spans="1:3" x14ac:dyDescent="0.25">
      <c r="A678" s="8">
        <v>6772148</v>
      </c>
      <c r="B678" s="9" t="s">
        <v>988</v>
      </c>
      <c r="C678" s="8" t="s">
        <v>26</v>
      </c>
    </row>
    <row r="679" spans="1:3" x14ac:dyDescent="0.25">
      <c r="A679" s="8">
        <v>6772149</v>
      </c>
      <c r="B679" s="9" t="s">
        <v>320</v>
      </c>
      <c r="C679" s="8" t="s">
        <v>26</v>
      </c>
    </row>
    <row r="680" spans="1:3" x14ac:dyDescent="0.25">
      <c r="A680" s="8">
        <v>6772150</v>
      </c>
      <c r="B680" s="9" t="s">
        <v>334</v>
      </c>
      <c r="C680" s="8" t="s">
        <v>26</v>
      </c>
    </row>
    <row r="681" spans="1:3" x14ac:dyDescent="0.25">
      <c r="A681" s="8">
        <v>6772151</v>
      </c>
      <c r="B681" s="9" t="s">
        <v>339</v>
      </c>
      <c r="C681" s="8" t="s">
        <v>26</v>
      </c>
    </row>
    <row r="682" spans="1:3" x14ac:dyDescent="0.25">
      <c r="A682" s="8">
        <v>6772152</v>
      </c>
      <c r="B682" s="9" t="s">
        <v>318</v>
      </c>
      <c r="C682" s="8" t="s">
        <v>26</v>
      </c>
    </row>
    <row r="683" spans="1:3" x14ac:dyDescent="0.25">
      <c r="A683" s="8">
        <v>6772153</v>
      </c>
      <c r="B683" s="9" t="s">
        <v>346</v>
      </c>
      <c r="C683" s="8" t="s">
        <v>26</v>
      </c>
    </row>
    <row r="684" spans="1:3" x14ac:dyDescent="0.25">
      <c r="A684" s="8">
        <v>6772154</v>
      </c>
      <c r="B684" s="9" t="s">
        <v>347</v>
      </c>
      <c r="C684" s="8" t="s">
        <v>26</v>
      </c>
    </row>
    <row r="685" spans="1:3" x14ac:dyDescent="0.25">
      <c r="A685" s="8">
        <v>6772155</v>
      </c>
      <c r="B685" s="9" t="s">
        <v>335</v>
      </c>
      <c r="C685" s="8" t="s">
        <v>26</v>
      </c>
    </row>
    <row r="686" spans="1:3" x14ac:dyDescent="0.25">
      <c r="A686" s="8">
        <v>6772156</v>
      </c>
      <c r="B686" s="9" t="s">
        <v>337</v>
      </c>
      <c r="C686" s="8" t="s">
        <v>26</v>
      </c>
    </row>
    <row r="687" spans="1:3" x14ac:dyDescent="0.25">
      <c r="A687" s="8">
        <v>6772157</v>
      </c>
      <c r="B687" s="9" t="s">
        <v>348</v>
      </c>
      <c r="C687" s="8" t="s">
        <v>26</v>
      </c>
    </row>
    <row r="688" spans="1:3" x14ac:dyDescent="0.25">
      <c r="A688" s="8">
        <v>6772158</v>
      </c>
      <c r="B688" s="9" t="s">
        <v>989</v>
      </c>
      <c r="C688" s="8" t="s">
        <v>26</v>
      </c>
    </row>
    <row r="689" spans="1:3" x14ac:dyDescent="0.25">
      <c r="A689" s="8">
        <v>6772159</v>
      </c>
      <c r="B689" s="9" t="s">
        <v>990</v>
      </c>
      <c r="C689" s="8" t="s">
        <v>26</v>
      </c>
    </row>
    <row r="690" spans="1:3" x14ac:dyDescent="0.25">
      <c r="A690" s="8">
        <v>6772160</v>
      </c>
      <c r="B690" s="9" t="s">
        <v>341</v>
      </c>
      <c r="C690" s="8" t="s">
        <v>26</v>
      </c>
    </row>
    <row r="691" spans="1:3" x14ac:dyDescent="0.25">
      <c r="A691" s="8">
        <v>6772161</v>
      </c>
      <c r="B691" s="9" t="s">
        <v>342</v>
      </c>
      <c r="C691" s="8" t="s">
        <v>26</v>
      </c>
    </row>
    <row r="692" spans="1:3" x14ac:dyDescent="0.25">
      <c r="A692" s="8">
        <v>6772162</v>
      </c>
      <c r="B692" s="9" t="s">
        <v>336</v>
      </c>
      <c r="C692" s="8" t="s">
        <v>26</v>
      </c>
    </row>
    <row r="693" spans="1:3" x14ac:dyDescent="0.25">
      <c r="A693" s="8">
        <v>6772163</v>
      </c>
      <c r="B693" s="9" t="s">
        <v>343</v>
      </c>
      <c r="C693" s="8" t="s">
        <v>26</v>
      </c>
    </row>
    <row r="694" spans="1:3" x14ac:dyDescent="0.25">
      <c r="A694" s="8">
        <v>6772164</v>
      </c>
      <c r="B694" s="9" t="s">
        <v>344</v>
      </c>
      <c r="C694" s="8" t="s">
        <v>26</v>
      </c>
    </row>
    <row r="695" spans="1:3" x14ac:dyDescent="0.25">
      <c r="A695" s="8">
        <v>6772165</v>
      </c>
      <c r="B695" s="9" t="s">
        <v>332</v>
      </c>
      <c r="C695" s="8" t="s">
        <v>26</v>
      </c>
    </row>
    <row r="696" spans="1:3" x14ac:dyDescent="0.25">
      <c r="A696" s="8">
        <v>6772169</v>
      </c>
      <c r="B696" s="9" t="s">
        <v>345</v>
      </c>
      <c r="C696" s="8" t="s">
        <v>26</v>
      </c>
    </row>
    <row r="697" spans="1:3" x14ac:dyDescent="0.25">
      <c r="A697" s="8">
        <v>6772170</v>
      </c>
      <c r="B697" s="9" t="s">
        <v>991</v>
      </c>
      <c r="C697" s="8" t="s">
        <v>26</v>
      </c>
    </row>
    <row r="698" spans="1:3" x14ac:dyDescent="0.25">
      <c r="A698" s="8">
        <v>6772171</v>
      </c>
      <c r="B698" s="9" t="s">
        <v>992</v>
      </c>
      <c r="C698" s="8" t="s">
        <v>26</v>
      </c>
    </row>
    <row r="699" spans="1:3" x14ac:dyDescent="0.25">
      <c r="A699" s="8">
        <v>6772172</v>
      </c>
      <c r="B699" s="9" t="s">
        <v>54</v>
      </c>
      <c r="C699" s="8" t="s">
        <v>26</v>
      </c>
    </row>
    <row r="700" spans="1:3" x14ac:dyDescent="0.25">
      <c r="A700" s="8">
        <v>6772173</v>
      </c>
      <c r="B700" s="9" t="s">
        <v>993</v>
      </c>
      <c r="C700" s="8" t="s">
        <v>26</v>
      </c>
    </row>
    <row r="701" spans="1:3" x14ac:dyDescent="0.25">
      <c r="A701" s="8">
        <v>6772174</v>
      </c>
      <c r="B701" s="9" t="s">
        <v>994</v>
      </c>
      <c r="C701" s="8" t="s">
        <v>26</v>
      </c>
    </row>
    <row r="702" spans="1:3" x14ac:dyDescent="0.25">
      <c r="A702" s="8">
        <v>6772175</v>
      </c>
      <c r="B702" s="9" t="s">
        <v>55</v>
      </c>
      <c r="C702" s="8" t="s">
        <v>26</v>
      </c>
    </row>
    <row r="703" spans="1:3" x14ac:dyDescent="0.25">
      <c r="A703" s="8">
        <v>6772176</v>
      </c>
      <c r="B703" s="9" t="s">
        <v>995</v>
      </c>
      <c r="C703" s="8" t="s">
        <v>26</v>
      </c>
    </row>
    <row r="704" spans="1:3" x14ac:dyDescent="0.25">
      <c r="A704" s="8">
        <v>6772177</v>
      </c>
      <c r="B704" s="9" t="s">
        <v>996</v>
      </c>
      <c r="C704" s="8" t="s">
        <v>26</v>
      </c>
    </row>
    <row r="705" spans="1:3" x14ac:dyDescent="0.25">
      <c r="A705" s="8">
        <v>6772178</v>
      </c>
      <c r="B705" s="9" t="s">
        <v>997</v>
      </c>
      <c r="C705" s="8" t="s">
        <v>26</v>
      </c>
    </row>
    <row r="706" spans="1:3" x14ac:dyDescent="0.25">
      <c r="A706" s="8">
        <v>6772179</v>
      </c>
      <c r="B706" s="9" t="s">
        <v>998</v>
      </c>
      <c r="C706" s="8" t="s">
        <v>26</v>
      </c>
    </row>
    <row r="707" spans="1:3" x14ac:dyDescent="0.25">
      <c r="A707" s="8">
        <v>6772180</v>
      </c>
      <c r="B707" s="9" t="s">
        <v>999</v>
      </c>
      <c r="C707" s="8" t="s">
        <v>26</v>
      </c>
    </row>
    <row r="708" spans="1:3" x14ac:dyDescent="0.25">
      <c r="A708" s="8">
        <v>6772181</v>
      </c>
      <c r="B708" s="9" t="s">
        <v>1000</v>
      </c>
      <c r="C708" s="8" t="s">
        <v>28</v>
      </c>
    </row>
    <row r="709" spans="1:3" x14ac:dyDescent="0.25">
      <c r="A709" s="8">
        <v>6772182</v>
      </c>
      <c r="B709" s="9" t="s">
        <v>360</v>
      </c>
      <c r="C709" s="8" t="s">
        <v>26</v>
      </c>
    </row>
    <row r="710" spans="1:3" x14ac:dyDescent="0.25">
      <c r="A710" s="8">
        <v>6772183</v>
      </c>
      <c r="B710" s="9" t="s">
        <v>360</v>
      </c>
      <c r="C710" s="8" t="s">
        <v>26</v>
      </c>
    </row>
    <row r="711" spans="1:3" x14ac:dyDescent="0.25">
      <c r="A711" s="8">
        <v>6772184</v>
      </c>
      <c r="B711" s="9" t="s">
        <v>360</v>
      </c>
      <c r="C711" s="8" t="s">
        <v>26</v>
      </c>
    </row>
    <row r="712" spans="1:3" x14ac:dyDescent="0.25">
      <c r="A712" s="8">
        <v>6772185</v>
      </c>
      <c r="B712" s="9" t="s">
        <v>350</v>
      </c>
      <c r="C712" s="8" t="s">
        <v>26</v>
      </c>
    </row>
    <row r="713" spans="1:3" x14ac:dyDescent="0.25">
      <c r="A713" s="8">
        <v>6772186</v>
      </c>
      <c r="B713" s="9" t="s">
        <v>1001</v>
      </c>
      <c r="C713" s="8" t="s">
        <v>27</v>
      </c>
    </row>
    <row r="714" spans="1:3" x14ac:dyDescent="0.25">
      <c r="A714" s="8">
        <v>6772187</v>
      </c>
      <c r="B714" s="9" t="s">
        <v>1002</v>
      </c>
      <c r="C714" s="8" t="s">
        <v>26</v>
      </c>
    </row>
    <row r="715" spans="1:3" x14ac:dyDescent="0.25">
      <c r="A715" s="8">
        <v>6772188</v>
      </c>
      <c r="B715" s="9" t="s">
        <v>1003</v>
      </c>
      <c r="C715" s="8" t="s">
        <v>26</v>
      </c>
    </row>
    <row r="716" spans="1:3" x14ac:dyDescent="0.25">
      <c r="A716" s="8">
        <v>6772191</v>
      </c>
      <c r="B716" s="9" t="s">
        <v>1004</v>
      </c>
      <c r="C716" s="8" t="s">
        <v>26</v>
      </c>
    </row>
    <row r="717" spans="1:3" x14ac:dyDescent="0.25">
      <c r="A717" s="8">
        <v>6772192</v>
      </c>
      <c r="B717" s="9" t="s">
        <v>1005</v>
      </c>
      <c r="C717" s="8" t="s">
        <v>26</v>
      </c>
    </row>
    <row r="718" spans="1:3" x14ac:dyDescent="0.25">
      <c r="A718" s="8">
        <v>6772193</v>
      </c>
      <c r="B718" s="9" t="s">
        <v>1006</v>
      </c>
      <c r="C718" s="8" t="s">
        <v>26</v>
      </c>
    </row>
    <row r="719" spans="1:3" x14ac:dyDescent="0.25">
      <c r="A719" s="8">
        <v>6772194</v>
      </c>
      <c r="B719" s="9" t="s">
        <v>1007</v>
      </c>
      <c r="C719" s="8" t="s">
        <v>26</v>
      </c>
    </row>
    <row r="720" spans="1:3" x14ac:dyDescent="0.25">
      <c r="A720" s="8">
        <v>6772195</v>
      </c>
      <c r="B720" s="9" t="s">
        <v>310</v>
      </c>
      <c r="C720" s="8" t="s">
        <v>26</v>
      </c>
    </row>
    <row r="721" spans="1:3" x14ac:dyDescent="0.25">
      <c r="A721" s="8">
        <v>6772196</v>
      </c>
      <c r="B721" s="9" t="s">
        <v>1008</v>
      </c>
      <c r="C721" s="8" t="s">
        <v>26</v>
      </c>
    </row>
    <row r="722" spans="1:3" x14ac:dyDescent="0.25">
      <c r="A722" s="8">
        <v>6772197</v>
      </c>
      <c r="B722" s="9" t="s">
        <v>1009</v>
      </c>
      <c r="C722" s="8" t="s">
        <v>26</v>
      </c>
    </row>
    <row r="723" spans="1:3" x14ac:dyDescent="0.25">
      <c r="A723" s="8">
        <v>6772198</v>
      </c>
      <c r="B723" s="9" t="s">
        <v>69</v>
      </c>
      <c r="C723" s="8" t="s">
        <v>26</v>
      </c>
    </row>
    <row r="724" spans="1:3" x14ac:dyDescent="0.25">
      <c r="A724" s="8">
        <v>6772204</v>
      </c>
      <c r="B724" s="9" t="s">
        <v>1010</v>
      </c>
      <c r="C724" s="8" t="s">
        <v>26</v>
      </c>
    </row>
    <row r="725" spans="1:3" x14ac:dyDescent="0.25">
      <c r="A725" s="8">
        <v>6772205</v>
      </c>
      <c r="B725" s="9" t="s">
        <v>1011</v>
      </c>
      <c r="C725" s="8" t="s">
        <v>26</v>
      </c>
    </row>
    <row r="726" spans="1:3" x14ac:dyDescent="0.25">
      <c r="A726" s="8">
        <v>6772206</v>
      </c>
      <c r="B726" s="9" t="s">
        <v>1012</v>
      </c>
      <c r="C726" s="8" t="s">
        <v>26</v>
      </c>
    </row>
    <row r="727" spans="1:3" x14ac:dyDescent="0.25">
      <c r="A727" s="8">
        <v>6772207</v>
      </c>
      <c r="B727" s="9" t="s">
        <v>1013</v>
      </c>
      <c r="C727" s="8" t="s">
        <v>26</v>
      </c>
    </row>
    <row r="728" spans="1:3" x14ac:dyDescent="0.25">
      <c r="A728" s="8">
        <v>6772208</v>
      </c>
      <c r="B728" s="9" t="s">
        <v>1014</v>
      </c>
      <c r="C728" s="8" t="s">
        <v>26</v>
      </c>
    </row>
    <row r="729" spans="1:3" x14ac:dyDescent="0.25">
      <c r="A729" s="8">
        <v>6772209</v>
      </c>
      <c r="B729" s="9" t="s">
        <v>1015</v>
      </c>
      <c r="C729" s="8" t="s">
        <v>26</v>
      </c>
    </row>
    <row r="730" spans="1:3" x14ac:dyDescent="0.25">
      <c r="A730" s="8">
        <v>6772210</v>
      </c>
      <c r="B730" s="9" t="s">
        <v>1016</v>
      </c>
      <c r="C730" s="8" t="s">
        <v>26</v>
      </c>
    </row>
    <row r="731" spans="1:3" x14ac:dyDescent="0.25">
      <c r="A731" s="8">
        <v>6772211</v>
      </c>
      <c r="B731" s="9" t="s">
        <v>1017</v>
      </c>
      <c r="C731" s="8" t="s">
        <v>26</v>
      </c>
    </row>
    <row r="732" spans="1:3" x14ac:dyDescent="0.25">
      <c r="A732" s="8">
        <v>6772212</v>
      </c>
      <c r="B732" s="9" t="s">
        <v>379</v>
      </c>
      <c r="C732" s="8" t="s">
        <v>26</v>
      </c>
    </row>
    <row r="733" spans="1:3" x14ac:dyDescent="0.25">
      <c r="A733" s="8">
        <v>6772213</v>
      </c>
      <c r="B733" s="9" t="s">
        <v>380</v>
      </c>
      <c r="C733" s="8" t="s">
        <v>26</v>
      </c>
    </row>
    <row r="734" spans="1:3" x14ac:dyDescent="0.25">
      <c r="A734" s="8">
        <v>6772214</v>
      </c>
      <c r="B734" s="9" t="s">
        <v>1018</v>
      </c>
      <c r="C734" s="8" t="s">
        <v>26</v>
      </c>
    </row>
    <row r="735" spans="1:3" x14ac:dyDescent="0.25">
      <c r="A735" s="8">
        <v>6772215</v>
      </c>
      <c r="B735" s="9" t="s">
        <v>1019</v>
      </c>
      <c r="C735" s="8" t="s">
        <v>26</v>
      </c>
    </row>
    <row r="736" spans="1:3" x14ac:dyDescent="0.25">
      <c r="A736" s="8">
        <v>6772216</v>
      </c>
      <c r="B736" s="9" t="s">
        <v>1020</v>
      </c>
      <c r="C736" s="8" t="s">
        <v>26</v>
      </c>
    </row>
    <row r="737" spans="1:3" x14ac:dyDescent="0.25">
      <c r="A737" s="8">
        <v>6772217</v>
      </c>
      <c r="B737" s="9" t="s">
        <v>1021</v>
      </c>
      <c r="C737" s="8" t="s">
        <v>26</v>
      </c>
    </row>
    <row r="738" spans="1:3" x14ac:dyDescent="0.25">
      <c r="A738" s="8">
        <v>6772218</v>
      </c>
      <c r="B738" s="9" t="s">
        <v>1022</v>
      </c>
      <c r="C738" s="8" t="s">
        <v>26</v>
      </c>
    </row>
    <row r="739" spans="1:3" x14ac:dyDescent="0.25">
      <c r="A739" s="8">
        <v>6772219</v>
      </c>
      <c r="B739" s="9" t="s">
        <v>1023</v>
      </c>
      <c r="C739" s="8" t="s">
        <v>26</v>
      </c>
    </row>
    <row r="740" spans="1:3" x14ac:dyDescent="0.25">
      <c r="A740" s="8">
        <v>6772220</v>
      </c>
      <c r="B740" s="9" t="s">
        <v>1024</v>
      </c>
      <c r="C740" s="8" t="s">
        <v>26</v>
      </c>
    </row>
    <row r="741" spans="1:3" x14ac:dyDescent="0.25">
      <c r="A741" s="8">
        <v>6772221</v>
      </c>
      <c r="B741" s="9" t="s">
        <v>251</v>
      </c>
      <c r="C741" s="8" t="s">
        <v>26</v>
      </c>
    </row>
    <row r="742" spans="1:3" x14ac:dyDescent="0.25">
      <c r="A742" s="8">
        <v>6772222</v>
      </c>
      <c r="B742" s="9" t="s">
        <v>1025</v>
      </c>
      <c r="C742" s="8" t="s">
        <v>26</v>
      </c>
    </row>
    <row r="743" spans="1:3" x14ac:dyDescent="0.25">
      <c r="A743" s="8">
        <v>6772223</v>
      </c>
      <c r="B743" s="9" t="s">
        <v>1026</v>
      </c>
      <c r="C743" s="8" t="s">
        <v>26</v>
      </c>
    </row>
    <row r="744" spans="1:3" x14ac:dyDescent="0.25">
      <c r="A744" s="8">
        <v>6772224</v>
      </c>
      <c r="B744" s="9" t="s">
        <v>1027</v>
      </c>
      <c r="C744" s="8" t="s">
        <v>26</v>
      </c>
    </row>
    <row r="745" spans="1:3" x14ac:dyDescent="0.25">
      <c r="A745" s="8">
        <v>6772225</v>
      </c>
      <c r="B745" s="9" t="s">
        <v>1028</v>
      </c>
      <c r="C745" s="8" t="s">
        <v>26</v>
      </c>
    </row>
    <row r="746" spans="1:3" x14ac:dyDescent="0.25">
      <c r="A746" s="8">
        <v>6772226</v>
      </c>
      <c r="B746" s="9" t="s">
        <v>1027</v>
      </c>
      <c r="C746" s="8" t="s">
        <v>26</v>
      </c>
    </row>
    <row r="747" spans="1:3" x14ac:dyDescent="0.25">
      <c r="A747" s="8">
        <v>6772227</v>
      </c>
      <c r="B747" s="9" t="s">
        <v>1029</v>
      </c>
      <c r="C747" s="8" t="s">
        <v>26</v>
      </c>
    </row>
    <row r="748" spans="1:3" x14ac:dyDescent="0.25">
      <c r="A748" s="8">
        <v>6772228</v>
      </c>
      <c r="B748" s="9" t="s">
        <v>1027</v>
      </c>
      <c r="C748" s="8" t="s">
        <v>26</v>
      </c>
    </row>
    <row r="749" spans="1:3" x14ac:dyDescent="0.25">
      <c r="A749" s="8">
        <v>6772231</v>
      </c>
      <c r="B749" s="9" t="s">
        <v>1030</v>
      </c>
      <c r="C749" s="8" t="s">
        <v>26</v>
      </c>
    </row>
    <row r="750" spans="1:3" x14ac:dyDescent="0.25">
      <c r="A750" s="8">
        <v>6772233</v>
      </c>
      <c r="B750" s="9" t="s">
        <v>1031</v>
      </c>
      <c r="C750" s="8" t="s">
        <v>26</v>
      </c>
    </row>
    <row r="751" spans="1:3" x14ac:dyDescent="0.25">
      <c r="A751" s="8">
        <v>6772234</v>
      </c>
      <c r="B751" s="9" t="s">
        <v>1032</v>
      </c>
      <c r="C751" s="8" t="s">
        <v>26</v>
      </c>
    </row>
    <row r="752" spans="1:3" x14ac:dyDescent="0.25">
      <c r="A752" s="8">
        <v>6772235</v>
      </c>
      <c r="B752" s="9" t="s">
        <v>1033</v>
      </c>
      <c r="C752" s="8" t="s">
        <v>26</v>
      </c>
    </row>
    <row r="753" spans="1:3" x14ac:dyDescent="0.25">
      <c r="A753" s="8">
        <v>6772236</v>
      </c>
      <c r="B753" s="9" t="s">
        <v>1034</v>
      </c>
      <c r="C753" s="8" t="s">
        <v>26</v>
      </c>
    </row>
    <row r="754" spans="1:3" x14ac:dyDescent="0.25">
      <c r="A754" s="8">
        <v>6772237</v>
      </c>
      <c r="B754" s="9" t="s">
        <v>1035</v>
      </c>
      <c r="C754" s="8" t="s">
        <v>26</v>
      </c>
    </row>
    <row r="755" spans="1:3" x14ac:dyDescent="0.25">
      <c r="A755" s="8">
        <v>6772239</v>
      </c>
      <c r="B755" s="9" t="s">
        <v>1036</v>
      </c>
      <c r="C755" s="8" t="s">
        <v>26</v>
      </c>
    </row>
    <row r="756" spans="1:3" x14ac:dyDescent="0.25">
      <c r="A756" s="8">
        <v>6772240</v>
      </c>
      <c r="B756" s="9" t="s">
        <v>1037</v>
      </c>
      <c r="C756" s="8" t="s">
        <v>26</v>
      </c>
    </row>
    <row r="757" spans="1:3" x14ac:dyDescent="0.25">
      <c r="A757" s="8">
        <v>6772241</v>
      </c>
      <c r="B757" s="9" t="s">
        <v>1038</v>
      </c>
      <c r="C757" s="8" t="s">
        <v>26</v>
      </c>
    </row>
    <row r="758" spans="1:3" x14ac:dyDescent="0.25">
      <c r="A758" s="8">
        <v>6772242</v>
      </c>
      <c r="B758" s="9" t="s">
        <v>1039</v>
      </c>
      <c r="C758" s="8" t="s">
        <v>28</v>
      </c>
    </row>
    <row r="759" spans="1:3" x14ac:dyDescent="0.25">
      <c r="A759" s="8">
        <v>6772243</v>
      </c>
      <c r="B759" s="9" t="s">
        <v>1040</v>
      </c>
      <c r="C759" s="8" t="s">
        <v>28</v>
      </c>
    </row>
    <row r="760" spans="1:3" x14ac:dyDescent="0.25">
      <c r="A760" s="8">
        <v>6772244</v>
      </c>
      <c r="B760" s="9" t="s">
        <v>1041</v>
      </c>
      <c r="C760" s="8" t="s">
        <v>26</v>
      </c>
    </row>
    <row r="761" spans="1:3" x14ac:dyDescent="0.25">
      <c r="A761" s="8">
        <v>6772245</v>
      </c>
      <c r="B761" s="9" t="s">
        <v>1042</v>
      </c>
      <c r="C761" s="8" t="s">
        <v>26</v>
      </c>
    </row>
    <row r="762" spans="1:3" x14ac:dyDescent="0.25">
      <c r="A762" s="8">
        <v>6772246</v>
      </c>
      <c r="B762" s="9" t="s">
        <v>1043</v>
      </c>
      <c r="C762" s="8" t="s">
        <v>26</v>
      </c>
    </row>
    <row r="763" spans="1:3" x14ac:dyDescent="0.25">
      <c r="A763" s="8">
        <v>6772247</v>
      </c>
      <c r="B763" s="9" t="s">
        <v>1044</v>
      </c>
      <c r="C763" s="8" t="s">
        <v>26</v>
      </c>
    </row>
    <row r="764" spans="1:3" x14ac:dyDescent="0.25">
      <c r="A764" s="8">
        <v>6772248</v>
      </c>
      <c r="B764" s="9" t="s">
        <v>1045</v>
      </c>
      <c r="C764" s="8" t="s">
        <v>26</v>
      </c>
    </row>
    <row r="765" spans="1:3" x14ac:dyDescent="0.25">
      <c r="A765" s="8">
        <v>6772249</v>
      </c>
      <c r="B765" s="9" t="s">
        <v>1046</v>
      </c>
      <c r="C765" s="8" t="s">
        <v>26</v>
      </c>
    </row>
    <row r="766" spans="1:3" x14ac:dyDescent="0.25">
      <c r="A766" s="8">
        <v>6772250</v>
      </c>
      <c r="B766" s="9" t="s">
        <v>1047</v>
      </c>
      <c r="C766" s="8" t="s">
        <v>26</v>
      </c>
    </row>
    <row r="767" spans="1:3" x14ac:dyDescent="0.25">
      <c r="A767" s="8">
        <v>6772251</v>
      </c>
      <c r="B767" s="9" t="s">
        <v>1048</v>
      </c>
      <c r="C767" s="8" t="s">
        <v>26</v>
      </c>
    </row>
    <row r="768" spans="1:3" x14ac:dyDescent="0.25">
      <c r="A768" s="8">
        <v>6772253</v>
      </c>
      <c r="B768" s="9" t="s">
        <v>1048</v>
      </c>
      <c r="C768" s="8" t="s">
        <v>26</v>
      </c>
    </row>
    <row r="769" spans="1:3" x14ac:dyDescent="0.25">
      <c r="A769" s="8">
        <v>6772254</v>
      </c>
      <c r="B769" s="9" t="s">
        <v>1048</v>
      </c>
      <c r="C769" s="8" t="s">
        <v>26</v>
      </c>
    </row>
    <row r="770" spans="1:3" x14ac:dyDescent="0.25">
      <c r="A770" s="8">
        <v>6772255</v>
      </c>
      <c r="B770" s="9" t="s">
        <v>1048</v>
      </c>
      <c r="C770" s="8" t="s">
        <v>26</v>
      </c>
    </row>
    <row r="771" spans="1:3" x14ac:dyDescent="0.25">
      <c r="A771" s="8">
        <v>6772256</v>
      </c>
      <c r="B771" s="9" t="s">
        <v>1048</v>
      </c>
      <c r="C771" s="8" t="s">
        <v>26</v>
      </c>
    </row>
    <row r="772" spans="1:3" x14ac:dyDescent="0.25">
      <c r="A772" s="8">
        <v>6772257</v>
      </c>
      <c r="B772" s="9" t="s">
        <v>69</v>
      </c>
      <c r="C772" s="8" t="s">
        <v>26</v>
      </c>
    </row>
    <row r="773" spans="1:3" x14ac:dyDescent="0.25">
      <c r="A773" s="8">
        <v>6772258</v>
      </c>
      <c r="B773" s="9" t="s">
        <v>69</v>
      </c>
      <c r="C773" s="8" t="s">
        <v>26</v>
      </c>
    </row>
    <row r="774" spans="1:3" x14ac:dyDescent="0.25">
      <c r="A774" s="8">
        <v>6772259</v>
      </c>
      <c r="B774" s="9" t="s">
        <v>56</v>
      </c>
      <c r="C774" s="8" t="s">
        <v>26</v>
      </c>
    </row>
    <row r="775" spans="1:3" x14ac:dyDescent="0.25">
      <c r="A775" s="8">
        <v>6772260</v>
      </c>
      <c r="B775" s="9" t="s">
        <v>69</v>
      </c>
      <c r="C775" s="8" t="s">
        <v>26</v>
      </c>
    </row>
    <row r="776" spans="1:3" x14ac:dyDescent="0.25">
      <c r="A776" s="8">
        <v>6772261</v>
      </c>
      <c r="B776" s="9" t="s">
        <v>1009</v>
      </c>
      <c r="C776" s="8" t="s">
        <v>26</v>
      </c>
    </row>
    <row r="777" spans="1:3" x14ac:dyDescent="0.25">
      <c r="A777" s="8">
        <v>6772262</v>
      </c>
      <c r="B777" s="9" t="s">
        <v>57</v>
      </c>
      <c r="C777" s="8" t="s">
        <v>26</v>
      </c>
    </row>
    <row r="778" spans="1:3" x14ac:dyDescent="0.25">
      <c r="A778" s="8">
        <v>6772263</v>
      </c>
      <c r="B778" s="9" t="s">
        <v>1049</v>
      </c>
      <c r="C778" s="8" t="s">
        <v>28</v>
      </c>
    </row>
    <row r="779" spans="1:3" x14ac:dyDescent="0.25">
      <c r="A779" s="8">
        <v>6772264</v>
      </c>
      <c r="B779" s="9" t="s">
        <v>1050</v>
      </c>
      <c r="C779" s="8" t="s">
        <v>28</v>
      </c>
    </row>
    <row r="780" spans="1:3" x14ac:dyDescent="0.25">
      <c r="A780" s="8">
        <v>6772265</v>
      </c>
      <c r="B780" s="9" t="s">
        <v>1051</v>
      </c>
      <c r="C780" s="8" t="s">
        <v>28</v>
      </c>
    </row>
    <row r="781" spans="1:3" x14ac:dyDescent="0.25">
      <c r="A781" s="8">
        <v>6772266</v>
      </c>
      <c r="B781" s="9" t="s">
        <v>58</v>
      </c>
      <c r="C781" s="8" t="s">
        <v>26</v>
      </c>
    </row>
    <row r="782" spans="1:3" x14ac:dyDescent="0.25">
      <c r="A782" s="8">
        <v>6772268</v>
      </c>
      <c r="B782" s="9" t="s">
        <v>1052</v>
      </c>
      <c r="C782" s="8" t="s">
        <v>26</v>
      </c>
    </row>
    <row r="783" spans="1:3" x14ac:dyDescent="0.25">
      <c r="A783" s="8">
        <v>6772270</v>
      </c>
      <c r="B783" s="9" t="s">
        <v>1053</v>
      </c>
      <c r="C783" s="8" t="s">
        <v>26</v>
      </c>
    </row>
    <row r="784" spans="1:3" x14ac:dyDescent="0.25">
      <c r="A784" s="8">
        <v>6772271</v>
      </c>
      <c r="B784" s="9" t="s">
        <v>1054</v>
      </c>
      <c r="C784" s="8" t="s">
        <v>26</v>
      </c>
    </row>
    <row r="785" spans="1:3" x14ac:dyDescent="0.25">
      <c r="A785" s="8">
        <v>6772272</v>
      </c>
      <c r="B785" s="9" t="s">
        <v>1055</v>
      </c>
      <c r="C785" s="8" t="s">
        <v>26</v>
      </c>
    </row>
    <row r="786" spans="1:3" x14ac:dyDescent="0.25">
      <c r="A786" s="8">
        <v>6772273</v>
      </c>
      <c r="B786" s="9" t="s">
        <v>1056</v>
      </c>
      <c r="C786" s="8" t="s">
        <v>26</v>
      </c>
    </row>
    <row r="787" spans="1:3" x14ac:dyDescent="0.25">
      <c r="A787" s="8">
        <v>6772274</v>
      </c>
      <c r="B787" s="9" t="s">
        <v>1057</v>
      </c>
      <c r="C787" s="8" t="s">
        <v>26</v>
      </c>
    </row>
    <row r="788" spans="1:3" x14ac:dyDescent="0.25">
      <c r="A788" s="8">
        <v>6772275</v>
      </c>
      <c r="B788" s="9" t="s">
        <v>1058</v>
      </c>
      <c r="C788" s="8" t="s">
        <v>26</v>
      </c>
    </row>
    <row r="789" spans="1:3" x14ac:dyDescent="0.25">
      <c r="A789" s="8">
        <v>6772276</v>
      </c>
      <c r="B789" s="9" t="s">
        <v>1059</v>
      </c>
      <c r="C789" s="8" t="s">
        <v>26</v>
      </c>
    </row>
    <row r="790" spans="1:3" x14ac:dyDescent="0.25">
      <c r="A790" s="8">
        <v>6772277</v>
      </c>
      <c r="B790" s="9" t="s">
        <v>1060</v>
      </c>
      <c r="C790" s="8" t="s">
        <v>26</v>
      </c>
    </row>
    <row r="791" spans="1:3" x14ac:dyDescent="0.25">
      <c r="A791" s="8">
        <v>6772278</v>
      </c>
      <c r="B791" s="9" t="s">
        <v>1061</v>
      </c>
      <c r="C791" s="8" t="s">
        <v>26</v>
      </c>
    </row>
    <row r="792" spans="1:3" x14ac:dyDescent="0.25">
      <c r="A792" s="8">
        <v>6772279</v>
      </c>
      <c r="B792" s="9" t="s">
        <v>1062</v>
      </c>
      <c r="C792" s="8" t="s">
        <v>26</v>
      </c>
    </row>
    <row r="793" spans="1:3" x14ac:dyDescent="0.25">
      <c r="A793" s="8">
        <v>6772280</v>
      </c>
      <c r="B793" s="9" t="s">
        <v>1063</v>
      </c>
      <c r="C793" s="8" t="s">
        <v>26</v>
      </c>
    </row>
    <row r="794" spans="1:3" x14ac:dyDescent="0.25">
      <c r="A794" s="8">
        <v>6772281</v>
      </c>
      <c r="B794" s="9" t="s">
        <v>1064</v>
      </c>
      <c r="C794" s="8" t="s">
        <v>26</v>
      </c>
    </row>
    <row r="795" spans="1:3" x14ac:dyDescent="0.25">
      <c r="A795" s="8">
        <v>6772282</v>
      </c>
      <c r="B795" s="9" t="s">
        <v>1065</v>
      </c>
      <c r="C795" s="8" t="s">
        <v>26</v>
      </c>
    </row>
    <row r="796" spans="1:3" x14ac:dyDescent="0.25">
      <c r="A796" s="8">
        <v>6772283</v>
      </c>
      <c r="B796" s="9" t="s">
        <v>1066</v>
      </c>
      <c r="C796" s="8" t="s">
        <v>26</v>
      </c>
    </row>
    <row r="797" spans="1:3" x14ac:dyDescent="0.25">
      <c r="A797" s="8">
        <v>6772284</v>
      </c>
      <c r="B797" s="9" t="s">
        <v>1067</v>
      </c>
      <c r="C797" s="8" t="s">
        <v>26</v>
      </c>
    </row>
    <row r="798" spans="1:3" x14ac:dyDescent="0.25">
      <c r="A798" s="8">
        <v>6772285</v>
      </c>
      <c r="B798" s="9" t="s">
        <v>389</v>
      </c>
      <c r="C798" s="8" t="s">
        <v>26</v>
      </c>
    </row>
    <row r="799" spans="1:3" x14ac:dyDescent="0.25">
      <c r="A799" s="8">
        <v>6772286</v>
      </c>
      <c r="B799" s="9" t="s">
        <v>1068</v>
      </c>
      <c r="C799" s="8" t="s">
        <v>26</v>
      </c>
    </row>
    <row r="800" spans="1:3" x14ac:dyDescent="0.25">
      <c r="A800" s="8">
        <v>6772287</v>
      </c>
      <c r="B800" s="9" t="s">
        <v>1069</v>
      </c>
      <c r="C800" s="8" t="s">
        <v>26</v>
      </c>
    </row>
    <row r="801" spans="1:3" x14ac:dyDescent="0.25">
      <c r="A801" s="8">
        <v>6772288</v>
      </c>
      <c r="B801" s="9" t="s">
        <v>1070</v>
      </c>
      <c r="C801" s="8" t="s">
        <v>26</v>
      </c>
    </row>
    <row r="802" spans="1:3" x14ac:dyDescent="0.25">
      <c r="A802" s="8">
        <v>6772289</v>
      </c>
      <c r="B802" s="9" t="s">
        <v>1071</v>
      </c>
      <c r="C802" s="8" t="s">
        <v>26</v>
      </c>
    </row>
    <row r="803" spans="1:3" x14ac:dyDescent="0.25">
      <c r="A803" s="8">
        <v>6772290</v>
      </c>
      <c r="B803" s="9" t="s">
        <v>1072</v>
      </c>
      <c r="C803" s="8" t="s">
        <v>26</v>
      </c>
    </row>
    <row r="804" spans="1:3" x14ac:dyDescent="0.25">
      <c r="A804" s="8">
        <v>6772291</v>
      </c>
      <c r="B804" s="9" t="s">
        <v>1073</v>
      </c>
      <c r="C804" s="8" t="s">
        <v>26</v>
      </c>
    </row>
    <row r="805" spans="1:3" x14ac:dyDescent="0.25">
      <c r="A805" s="8">
        <v>6772292</v>
      </c>
      <c r="B805" s="9" t="s">
        <v>1074</v>
      </c>
      <c r="C805" s="8" t="s">
        <v>26</v>
      </c>
    </row>
    <row r="806" spans="1:3" x14ac:dyDescent="0.25">
      <c r="A806" s="8">
        <v>6772293</v>
      </c>
      <c r="B806" s="9" t="s">
        <v>1075</v>
      </c>
      <c r="C806" s="8" t="s">
        <v>26</v>
      </c>
    </row>
    <row r="807" spans="1:3" x14ac:dyDescent="0.25">
      <c r="A807" s="8">
        <v>6772294</v>
      </c>
      <c r="B807" s="9" t="s">
        <v>1076</v>
      </c>
      <c r="C807" s="8" t="s">
        <v>26</v>
      </c>
    </row>
    <row r="808" spans="1:3" x14ac:dyDescent="0.25">
      <c r="A808" s="8">
        <v>6772295</v>
      </c>
      <c r="B808" s="9" t="s">
        <v>1077</v>
      </c>
      <c r="C808" s="8" t="s">
        <v>26</v>
      </c>
    </row>
    <row r="809" spans="1:3" x14ac:dyDescent="0.25">
      <c r="A809" s="8">
        <v>6772296</v>
      </c>
      <c r="B809" s="9" t="s">
        <v>1077</v>
      </c>
      <c r="C809" s="8" t="s">
        <v>26</v>
      </c>
    </row>
    <row r="810" spans="1:3" x14ac:dyDescent="0.25">
      <c r="A810" s="8">
        <v>6772297</v>
      </c>
      <c r="B810" s="9" t="s">
        <v>1078</v>
      </c>
      <c r="C810" s="8" t="s">
        <v>26</v>
      </c>
    </row>
    <row r="811" spans="1:3" x14ac:dyDescent="0.25">
      <c r="A811" s="8">
        <v>6772298</v>
      </c>
      <c r="B811" s="9" t="s">
        <v>1079</v>
      </c>
      <c r="C811" s="8" t="s">
        <v>26</v>
      </c>
    </row>
    <row r="812" spans="1:3" x14ac:dyDescent="0.25">
      <c r="A812" s="8">
        <v>6772299</v>
      </c>
      <c r="B812" s="9" t="s">
        <v>1080</v>
      </c>
      <c r="C812" s="8" t="s">
        <v>26</v>
      </c>
    </row>
    <row r="813" spans="1:3" x14ac:dyDescent="0.25">
      <c r="A813" s="8">
        <v>6772301</v>
      </c>
      <c r="B813" s="9" t="s">
        <v>1081</v>
      </c>
      <c r="C813" s="8" t="s">
        <v>26</v>
      </c>
    </row>
    <row r="814" spans="1:3" x14ac:dyDescent="0.25">
      <c r="A814" s="8">
        <v>6772302</v>
      </c>
      <c r="B814" s="9" t="s">
        <v>1082</v>
      </c>
      <c r="C814" s="8" t="s">
        <v>26</v>
      </c>
    </row>
    <row r="815" spans="1:3" x14ac:dyDescent="0.25">
      <c r="A815" s="8">
        <v>6772303</v>
      </c>
      <c r="B815" s="9" t="s">
        <v>1083</v>
      </c>
      <c r="C815" s="8" t="s">
        <v>26</v>
      </c>
    </row>
    <row r="816" spans="1:3" x14ac:dyDescent="0.25">
      <c r="A816" s="8">
        <v>6772304</v>
      </c>
      <c r="B816" s="9" t="s">
        <v>1084</v>
      </c>
      <c r="C816" s="8" t="s">
        <v>26</v>
      </c>
    </row>
    <row r="817" spans="1:3" x14ac:dyDescent="0.25">
      <c r="A817" s="8">
        <v>6772305</v>
      </c>
      <c r="B817" s="9" t="s">
        <v>1085</v>
      </c>
      <c r="C817" s="8" t="s">
        <v>26</v>
      </c>
    </row>
    <row r="818" spans="1:3" x14ac:dyDescent="0.25">
      <c r="A818" s="8">
        <v>6772306</v>
      </c>
      <c r="B818" s="9" t="s">
        <v>1086</v>
      </c>
      <c r="C818" s="8" t="s">
        <v>26</v>
      </c>
    </row>
    <row r="819" spans="1:3" x14ac:dyDescent="0.25">
      <c r="A819" s="8">
        <v>6772307</v>
      </c>
      <c r="B819" s="9" t="s">
        <v>287</v>
      </c>
      <c r="C819" s="8" t="s">
        <v>26</v>
      </c>
    </row>
    <row r="820" spans="1:3" x14ac:dyDescent="0.25">
      <c r="A820" s="8">
        <v>6772308</v>
      </c>
      <c r="B820" s="9" t="s">
        <v>1087</v>
      </c>
      <c r="C820" s="8" t="s">
        <v>26</v>
      </c>
    </row>
    <row r="821" spans="1:3" x14ac:dyDescent="0.25">
      <c r="A821" s="8">
        <v>6772310</v>
      </c>
      <c r="B821" s="9" t="s">
        <v>1088</v>
      </c>
      <c r="C821" s="8" t="s">
        <v>26</v>
      </c>
    </row>
    <row r="822" spans="1:3" x14ac:dyDescent="0.25">
      <c r="A822" s="8">
        <v>6772311</v>
      </c>
      <c r="B822" s="9" t="s">
        <v>1089</v>
      </c>
      <c r="C822" s="8" t="s">
        <v>26</v>
      </c>
    </row>
    <row r="823" spans="1:3" x14ac:dyDescent="0.25">
      <c r="A823" s="8">
        <v>6772312</v>
      </c>
      <c r="B823" s="9" t="s">
        <v>1090</v>
      </c>
      <c r="C823" s="8" t="s">
        <v>26</v>
      </c>
    </row>
    <row r="824" spans="1:3" x14ac:dyDescent="0.25">
      <c r="A824" s="8">
        <v>6772313</v>
      </c>
      <c r="B824" s="9" t="s">
        <v>222</v>
      </c>
      <c r="C824" s="8" t="s">
        <v>26</v>
      </c>
    </row>
    <row r="825" spans="1:3" x14ac:dyDescent="0.25">
      <c r="A825" s="8">
        <v>6772314</v>
      </c>
      <c r="B825" s="9" t="s">
        <v>223</v>
      </c>
      <c r="C825" s="8" t="s">
        <v>26</v>
      </c>
    </row>
    <row r="826" spans="1:3" x14ac:dyDescent="0.25">
      <c r="A826" s="8">
        <v>6772316</v>
      </c>
      <c r="B826" s="9" t="s">
        <v>1091</v>
      </c>
      <c r="C826" s="8" t="s">
        <v>26</v>
      </c>
    </row>
    <row r="827" spans="1:3" x14ac:dyDescent="0.25">
      <c r="A827" s="8">
        <v>6772319</v>
      </c>
      <c r="B827" s="9" t="s">
        <v>1092</v>
      </c>
      <c r="C827" s="8" t="s">
        <v>26</v>
      </c>
    </row>
    <row r="828" spans="1:3" x14ac:dyDescent="0.25">
      <c r="A828" s="8">
        <v>6772320</v>
      </c>
      <c r="B828" s="9" t="s">
        <v>1093</v>
      </c>
      <c r="C828" s="8" t="s">
        <v>26</v>
      </c>
    </row>
    <row r="829" spans="1:3" x14ac:dyDescent="0.25">
      <c r="A829" s="8">
        <v>6772321</v>
      </c>
      <c r="B829" s="9" t="s">
        <v>1094</v>
      </c>
      <c r="C829" s="8" t="s">
        <v>26</v>
      </c>
    </row>
    <row r="830" spans="1:3" x14ac:dyDescent="0.25">
      <c r="A830" s="8">
        <v>6772322</v>
      </c>
      <c r="B830" s="9" t="s">
        <v>1095</v>
      </c>
      <c r="C830" s="8" t="s">
        <v>26</v>
      </c>
    </row>
    <row r="831" spans="1:3" x14ac:dyDescent="0.25">
      <c r="A831" s="8">
        <v>6772323</v>
      </c>
      <c r="B831" s="9" t="s">
        <v>1096</v>
      </c>
      <c r="C831" s="8" t="s">
        <v>26</v>
      </c>
    </row>
    <row r="832" spans="1:3" x14ac:dyDescent="0.25">
      <c r="A832" s="8">
        <v>6772324</v>
      </c>
      <c r="B832" s="9" t="s">
        <v>1097</v>
      </c>
      <c r="C832" s="8" t="s">
        <v>26</v>
      </c>
    </row>
    <row r="833" spans="1:3" x14ac:dyDescent="0.25">
      <c r="A833" s="8">
        <v>6772325</v>
      </c>
      <c r="B833" s="9" t="s">
        <v>1098</v>
      </c>
      <c r="C833" s="8" t="s">
        <v>26</v>
      </c>
    </row>
    <row r="834" spans="1:3" x14ac:dyDescent="0.25">
      <c r="A834" s="8">
        <v>6772326</v>
      </c>
      <c r="B834" s="9" t="s">
        <v>59</v>
      </c>
      <c r="C834" s="8" t="s">
        <v>26</v>
      </c>
    </row>
    <row r="835" spans="1:3" x14ac:dyDescent="0.25">
      <c r="A835" s="8">
        <v>6772327</v>
      </c>
      <c r="B835" s="9" t="s">
        <v>1099</v>
      </c>
      <c r="C835" s="8" t="s">
        <v>26</v>
      </c>
    </row>
    <row r="836" spans="1:3" x14ac:dyDescent="0.25">
      <c r="A836" s="8">
        <v>6772328</v>
      </c>
      <c r="B836" s="9" t="s">
        <v>1100</v>
      </c>
      <c r="C836" s="8" t="s">
        <v>26</v>
      </c>
    </row>
    <row r="837" spans="1:3" x14ac:dyDescent="0.25">
      <c r="A837" s="8">
        <v>6772329</v>
      </c>
      <c r="B837" s="9" t="s">
        <v>1101</v>
      </c>
      <c r="C837" s="8" t="s">
        <v>26</v>
      </c>
    </row>
    <row r="838" spans="1:3" x14ac:dyDescent="0.25">
      <c r="A838" s="8">
        <v>6772332</v>
      </c>
      <c r="B838" s="9" t="s">
        <v>1102</v>
      </c>
      <c r="C838" s="8" t="s">
        <v>27</v>
      </c>
    </row>
    <row r="839" spans="1:3" x14ac:dyDescent="0.25">
      <c r="A839" s="8">
        <v>6772333</v>
      </c>
      <c r="B839" s="9" t="s">
        <v>1103</v>
      </c>
      <c r="C839" s="8" t="s">
        <v>27</v>
      </c>
    </row>
    <row r="840" spans="1:3" x14ac:dyDescent="0.25">
      <c r="A840" s="8">
        <v>6772334</v>
      </c>
      <c r="B840" s="9" t="s">
        <v>60</v>
      </c>
      <c r="C840" s="8" t="s">
        <v>26</v>
      </c>
    </row>
    <row r="841" spans="1:3" x14ac:dyDescent="0.25">
      <c r="A841" s="8">
        <v>6772336</v>
      </c>
      <c r="B841" s="9" t="s">
        <v>1104</v>
      </c>
      <c r="C841" s="8" t="s">
        <v>26</v>
      </c>
    </row>
    <row r="842" spans="1:3" x14ac:dyDescent="0.25">
      <c r="A842" s="8">
        <v>6772337</v>
      </c>
      <c r="B842" s="9" t="s">
        <v>1105</v>
      </c>
      <c r="C842" s="8" t="s">
        <v>26</v>
      </c>
    </row>
    <row r="843" spans="1:3" x14ac:dyDescent="0.25">
      <c r="A843" s="8">
        <v>6772338</v>
      </c>
      <c r="B843" s="9" t="s">
        <v>1106</v>
      </c>
      <c r="C843" s="8" t="s">
        <v>26</v>
      </c>
    </row>
    <row r="844" spans="1:3" x14ac:dyDescent="0.25">
      <c r="A844" s="8">
        <v>6772339</v>
      </c>
      <c r="B844" s="9" t="s">
        <v>1107</v>
      </c>
      <c r="C844" s="8" t="s">
        <v>26</v>
      </c>
    </row>
    <row r="845" spans="1:3" x14ac:dyDescent="0.25">
      <c r="A845" s="8">
        <v>6772341</v>
      </c>
      <c r="B845" s="9" t="s">
        <v>1108</v>
      </c>
      <c r="C845" s="8" t="s">
        <v>26</v>
      </c>
    </row>
    <row r="846" spans="1:3" x14ac:dyDescent="0.25">
      <c r="A846" s="8">
        <v>6772342</v>
      </c>
      <c r="B846" s="9" t="s">
        <v>1109</v>
      </c>
      <c r="C846" s="8" t="s">
        <v>26</v>
      </c>
    </row>
    <row r="847" spans="1:3" x14ac:dyDescent="0.25">
      <c r="A847" s="8">
        <v>6772343</v>
      </c>
      <c r="B847" s="9" t="s">
        <v>1110</v>
      </c>
      <c r="C847" s="8" t="s">
        <v>26</v>
      </c>
    </row>
    <row r="848" spans="1:3" x14ac:dyDescent="0.25">
      <c r="A848" s="8">
        <v>6772344</v>
      </c>
      <c r="B848" s="9" t="s">
        <v>1111</v>
      </c>
      <c r="C848" s="8" t="s">
        <v>26</v>
      </c>
    </row>
    <row r="849" spans="1:3" x14ac:dyDescent="0.25">
      <c r="A849" s="8">
        <v>6772345</v>
      </c>
      <c r="B849" s="9" t="s">
        <v>1112</v>
      </c>
      <c r="C849" s="8" t="s">
        <v>26</v>
      </c>
    </row>
    <row r="850" spans="1:3" x14ac:dyDescent="0.25">
      <c r="A850" s="8">
        <v>6772346</v>
      </c>
      <c r="B850" s="9" t="s">
        <v>1113</v>
      </c>
      <c r="C850" s="8" t="s">
        <v>26</v>
      </c>
    </row>
    <row r="851" spans="1:3" x14ac:dyDescent="0.25">
      <c r="A851" s="8">
        <v>6772347</v>
      </c>
      <c r="B851" s="9" t="s">
        <v>1114</v>
      </c>
      <c r="C851" s="8" t="s">
        <v>26</v>
      </c>
    </row>
    <row r="852" spans="1:3" x14ac:dyDescent="0.25">
      <c r="A852" s="8">
        <v>6772348</v>
      </c>
      <c r="B852" s="9" t="s">
        <v>1115</v>
      </c>
      <c r="C852" s="8" t="s">
        <v>30</v>
      </c>
    </row>
    <row r="853" spans="1:3" x14ac:dyDescent="0.25">
      <c r="A853" s="8">
        <v>6772349</v>
      </c>
      <c r="B853" s="9" t="s">
        <v>1116</v>
      </c>
      <c r="C853" s="8" t="s">
        <v>30</v>
      </c>
    </row>
    <row r="854" spans="1:3" x14ac:dyDescent="0.25">
      <c r="A854" s="8">
        <v>6772350</v>
      </c>
      <c r="B854" s="9" t="s">
        <v>1117</v>
      </c>
      <c r="C854" s="8" t="s">
        <v>28</v>
      </c>
    </row>
    <row r="855" spans="1:3" x14ac:dyDescent="0.25">
      <c r="A855" s="8">
        <v>6772351</v>
      </c>
      <c r="B855" s="9" t="s">
        <v>1118</v>
      </c>
      <c r="C855" s="8" t="s">
        <v>26</v>
      </c>
    </row>
    <row r="856" spans="1:3" x14ac:dyDescent="0.25">
      <c r="A856" s="8">
        <v>6772352</v>
      </c>
      <c r="B856" s="9" t="s">
        <v>1119</v>
      </c>
      <c r="C856" s="8" t="s">
        <v>26</v>
      </c>
    </row>
    <row r="857" spans="1:3" x14ac:dyDescent="0.25">
      <c r="A857" s="8">
        <v>6772355</v>
      </c>
      <c r="B857" s="9" t="s">
        <v>1120</v>
      </c>
      <c r="C857" s="8" t="s">
        <v>26</v>
      </c>
    </row>
    <row r="858" spans="1:3" x14ac:dyDescent="0.25">
      <c r="A858" s="8">
        <v>6772356</v>
      </c>
      <c r="B858" s="9" t="s">
        <v>1121</v>
      </c>
      <c r="C858" s="8" t="s">
        <v>26</v>
      </c>
    </row>
    <row r="859" spans="1:3" x14ac:dyDescent="0.25">
      <c r="A859" s="8">
        <v>6772357</v>
      </c>
      <c r="B859" s="9" t="s">
        <v>1122</v>
      </c>
      <c r="C859" s="8" t="s">
        <v>26</v>
      </c>
    </row>
    <row r="860" spans="1:3" x14ac:dyDescent="0.25">
      <c r="A860" s="8">
        <v>6772358</v>
      </c>
      <c r="B860" s="9" t="s">
        <v>1123</v>
      </c>
      <c r="C860" s="8" t="s">
        <v>26</v>
      </c>
    </row>
    <row r="861" spans="1:3" x14ac:dyDescent="0.25">
      <c r="A861" s="8">
        <v>6772359</v>
      </c>
      <c r="B861" s="9" t="s">
        <v>1124</v>
      </c>
      <c r="C861" s="8" t="s">
        <v>26</v>
      </c>
    </row>
    <row r="862" spans="1:3" x14ac:dyDescent="0.25">
      <c r="A862" s="8">
        <v>6772360</v>
      </c>
      <c r="B862" s="9" t="s">
        <v>1125</v>
      </c>
      <c r="C862" s="8" t="s">
        <v>26</v>
      </c>
    </row>
    <row r="863" spans="1:3" x14ac:dyDescent="0.25">
      <c r="A863" s="8">
        <v>6772361</v>
      </c>
      <c r="B863" s="9" t="s">
        <v>1126</v>
      </c>
      <c r="C863" s="8" t="s">
        <v>26</v>
      </c>
    </row>
    <row r="864" spans="1:3" x14ac:dyDescent="0.25">
      <c r="A864" s="8">
        <v>6772362</v>
      </c>
      <c r="B864" s="9" t="s">
        <v>1127</v>
      </c>
      <c r="C864" s="8" t="s">
        <v>26</v>
      </c>
    </row>
    <row r="865" spans="1:3" x14ac:dyDescent="0.25">
      <c r="A865" s="8">
        <v>6772363</v>
      </c>
      <c r="B865" s="9" t="s">
        <v>1128</v>
      </c>
      <c r="C865" s="8" t="s">
        <v>26</v>
      </c>
    </row>
    <row r="866" spans="1:3" x14ac:dyDescent="0.25">
      <c r="A866" s="8">
        <v>6772367</v>
      </c>
      <c r="B866" s="9" t="s">
        <v>1129</v>
      </c>
      <c r="C866" s="8" t="s">
        <v>26</v>
      </c>
    </row>
    <row r="867" spans="1:3" x14ac:dyDescent="0.25">
      <c r="A867" s="8">
        <v>6772368</v>
      </c>
      <c r="B867" s="9" t="s">
        <v>1130</v>
      </c>
      <c r="C867" s="8" t="s">
        <v>26</v>
      </c>
    </row>
    <row r="868" spans="1:3" x14ac:dyDescent="0.25">
      <c r="A868" s="8">
        <v>6772370</v>
      </c>
      <c r="B868" s="9" t="s">
        <v>61</v>
      </c>
      <c r="C868" s="8" t="s">
        <v>26</v>
      </c>
    </row>
    <row r="869" spans="1:3" x14ac:dyDescent="0.25">
      <c r="A869" s="8">
        <v>6772371</v>
      </c>
      <c r="B869" s="9" t="s">
        <v>1131</v>
      </c>
      <c r="C869" s="8" t="s">
        <v>26</v>
      </c>
    </row>
    <row r="870" spans="1:3" x14ac:dyDescent="0.25">
      <c r="A870" s="8">
        <v>6772372</v>
      </c>
      <c r="B870" s="9" t="s">
        <v>1132</v>
      </c>
      <c r="C870" s="8" t="s">
        <v>26</v>
      </c>
    </row>
    <row r="871" spans="1:3" x14ac:dyDescent="0.25">
      <c r="A871" s="8">
        <v>6772373</v>
      </c>
      <c r="B871" s="9" t="s">
        <v>1132</v>
      </c>
      <c r="C871" s="8" t="s">
        <v>26</v>
      </c>
    </row>
    <row r="872" spans="1:3" x14ac:dyDescent="0.25">
      <c r="A872" s="8">
        <v>6772375</v>
      </c>
      <c r="B872" s="9" t="s">
        <v>1133</v>
      </c>
      <c r="C872" s="8" t="s">
        <v>26</v>
      </c>
    </row>
    <row r="873" spans="1:3" x14ac:dyDescent="0.25">
      <c r="A873" s="8">
        <v>6772376</v>
      </c>
      <c r="B873" s="9" t="s">
        <v>1134</v>
      </c>
      <c r="C873" s="8" t="s">
        <v>26</v>
      </c>
    </row>
    <row r="874" spans="1:3" x14ac:dyDescent="0.25">
      <c r="A874" s="8">
        <v>6772377</v>
      </c>
      <c r="B874" s="9" t="s">
        <v>1135</v>
      </c>
      <c r="C874" s="8" t="s">
        <v>26</v>
      </c>
    </row>
    <row r="875" spans="1:3" x14ac:dyDescent="0.25">
      <c r="A875" s="8">
        <v>6772378</v>
      </c>
      <c r="B875" s="9" t="s">
        <v>1136</v>
      </c>
      <c r="C875" s="8" t="s">
        <v>26</v>
      </c>
    </row>
    <row r="876" spans="1:3" x14ac:dyDescent="0.25">
      <c r="A876" s="8">
        <v>6772379</v>
      </c>
      <c r="B876" s="9" t="s">
        <v>1137</v>
      </c>
      <c r="C876" s="8" t="s">
        <v>26</v>
      </c>
    </row>
    <row r="877" spans="1:3" x14ac:dyDescent="0.25">
      <c r="A877" s="8">
        <v>6772380</v>
      </c>
      <c r="B877" s="9" t="s">
        <v>1138</v>
      </c>
      <c r="C877" s="8" t="s">
        <v>26</v>
      </c>
    </row>
    <row r="878" spans="1:3" x14ac:dyDescent="0.25">
      <c r="A878" s="8">
        <v>6772381</v>
      </c>
      <c r="B878" s="9" t="s">
        <v>1139</v>
      </c>
      <c r="C878" s="8" t="s">
        <v>26</v>
      </c>
    </row>
    <row r="879" spans="1:3" x14ac:dyDescent="0.25">
      <c r="A879" s="8">
        <v>6772382</v>
      </c>
      <c r="B879" s="9" t="s">
        <v>1140</v>
      </c>
      <c r="C879" s="8" t="s">
        <v>26</v>
      </c>
    </row>
    <row r="880" spans="1:3" x14ac:dyDescent="0.25">
      <c r="A880" s="8">
        <v>6772384</v>
      </c>
      <c r="B880" s="9" t="s">
        <v>1141</v>
      </c>
      <c r="C880" s="8" t="s">
        <v>31</v>
      </c>
    </row>
    <row r="881" spans="1:3" x14ac:dyDescent="0.25">
      <c r="A881" s="8">
        <v>6772385</v>
      </c>
      <c r="B881" s="9" t="s">
        <v>1142</v>
      </c>
      <c r="C881" s="8" t="s">
        <v>31</v>
      </c>
    </row>
    <row r="882" spans="1:3" x14ac:dyDescent="0.25">
      <c r="A882" s="8">
        <v>6772390</v>
      </c>
      <c r="B882" s="9" t="s">
        <v>1143</v>
      </c>
      <c r="C882" s="8" t="s">
        <v>31</v>
      </c>
    </row>
    <row r="883" spans="1:3" x14ac:dyDescent="0.25">
      <c r="A883" s="8">
        <v>6772391</v>
      </c>
      <c r="B883" s="9" t="s">
        <v>1144</v>
      </c>
      <c r="C883" s="8" t="s">
        <v>26</v>
      </c>
    </row>
    <row r="884" spans="1:3" x14ac:dyDescent="0.25">
      <c r="A884" s="8">
        <v>6772392</v>
      </c>
      <c r="B884" s="9" t="s">
        <v>1145</v>
      </c>
      <c r="C884" s="8" t="s">
        <v>26</v>
      </c>
    </row>
    <row r="885" spans="1:3" x14ac:dyDescent="0.25">
      <c r="A885" s="8">
        <v>6772393</v>
      </c>
      <c r="B885" s="9" t="s">
        <v>1146</v>
      </c>
      <c r="C885" s="8" t="s">
        <v>26</v>
      </c>
    </row>
    <row r="886" spans="1:3" x14ac:dyDescent="0.25">
      <c r="A886" s="8">
        <v>6772395</v>
      </c>
      <c r="B886" s="9" t="s">
        <v>1147</v>
      </c>
      <c r="C886" s="8" t="s">
        <v>26</v>
      </c>
    </row>
    <row r="887" spans="1:3" x14ac:dyDescent="0.25">
      <c r="A887" s="8">
        <v>6772396</v>
      </c>
      <c r="B887" s="9" t="s">
        <v>1148</v>
      </c>
      <c r="C887" s="8" t="s">
        <v>26</v>
      </c>
    </row>
    <row r="888" spans="1:3" x14ac:dyDescent="0.25">
      <c r="A888" s="8">
        <v>6772397</v>
      </c>
      <c r="B888" s="9" t="s">
        <v>1149</v>
      </c>
      <c r="C888" s="8" t="s">
        <v>26</v>
      </c>
    </row>
    <row r="889" spans="1:3" x14ac:dyDescent="0.25">
      <c r="A889" s="8">
        <v>6772398</v>
      </c>
      <c r="B889" s="9" t="s">
        <v>1150</v>
      </c>
      <c r="C889" s="8" t="s">
        <v>26</v>
      </c>
    </row>
    <row r="890" spans="1:3" x14ac:dyDescent="0.25">
      <c r="A890" s="8">
        <v>6772399</v>
      </c>
      <c r="B890" s="9" t="s">
        <v>1151</v>
      </c>
      <c r="C890" s="8" t="s">
        <v>26</v>
      </c>
    </row>
    <row r="891" spans="1:3" x14ac:dyDescent="0.25">
      <c r="A891" s="8">
        <v>6772400</v>
      </c>
      <c r="B891" s="9" t="s">
        <v>1152</v>
      </c>
      <c r="C891" s="8" t="s">
        <v>26</v>
      </c>
    </row>
    <row r="892" spans="1:3" x14ac:dyDescent="0.25">
      <c r="A892" s="8">
        <v>6772401</v>
      </c>
      <c r="B892" s="9" t="s">
        <v>1153</v>
      </c>
      <c r="C892" s="8" t="s">
        <v>26</v>
      </c>
    </row>
    <row r="893" spans="1:3" x14ac:dyDescent="0.25">
      <c r="A893" s="8">
        <v>6772402</v>
      </c>
      <c r="B893" s="9" t="s">
        <v>62</v>
      </c>
      <c r="C893" s="8" t="s">
        <v>26</v>
      </c>
    </row>
    <row r="894" spans="1:3" x14ac:dyDescent="0.25">
      <c r="A894" s="8">
        <v>6772404</v>
      </c>
      <c r="B894" s="9" t="s">
        <v>1154</v>
      </c>
      <c r="C894" s="8" t="s">
        <v>26</v>
      </c>
    </row>
    <row r="895" spans="1:3" x14ac:dyDescent="0.25">
      <c r="A895" s="8">
        <v>6772406</v>
      </c>
      <c r="B895" s="9" t="s">
        <v>1155</v>
      </c>
      <c r="C895" s="8" t="s">
        <v>26</v>
      </c>
    </row>
    <row r="896" spans="1:3" x14ac:dyDescent="0.25">
      <c r="A896" s="8">
        <v>6772409</v>
      </c>
      <c r="B896" s="9" t="s">
        <v>1156</v>
      </c>
      <c r="C896" s="8" t="s">
        <v>26</v>
      </c>
    </row>
    <row r="897" spans="1:3" x14ac:dyDescent="0.25">
      <c r="A897" s="8">
        <v>6772410</v>
      </c>
      <c r="B897" s="9" t="s">
        <v>1157</v>
      </c>
      <c r="C897" s="8" t="s">
        <v>26</v>
      </c>
    </row>
    <row r="898" spans="1:3" x14ac:dyDescent="0.25">
      <c r="A898" s="8">
        <v>6772411</v>
      </c>
      <c r="B898" s="9" t="s">
        <v>1158</v>
      </c>
      <c r="C898" s="8" t="s">
        <v>26</v>
      </c>
    </row>
    <row r="899" spans="1:3" x14ac:dyDescent="0.25">
      <c r="A899" s="8">
        <v>6772413</v>
      </c>
      <c r="B899" s="9" t="s">
        <v>1159</v>
      </c>
      <c r="C899" s="8" t="s">
        <v>26</v>
      </c>
    </row>
    <row r="900" spans="1:3" x14ac:dyDescent="0.25">
      <c r="A900" s="8">
        <v>6772425</v>
      </c>
      <c r="B900" s="9" t="s">
        <v>1160</v>
      </c>
      <c r="C900" s="8" t="s">
        <v>26</v>
      </c>
    </row>
    <row r="901" spans="1:3" x14ac:dyDescent="0.25">
      <c r="A901" s="8">
        <v>6772426</v>
      </c>
      <c r="B901" s="9" t="s">
        <v>1161</v>
      </c>
      <c r="C901" s="8" t="s">
        <v>26</v>
      </c>
    </row>
    <row r="902" spans="1:3" x14ac:dyDescent="0.25">
      <c r="A902" s="8">
        <v>6772432</v>
      </c>
      <c r="B902" s="9" t="s">
        <v>63</v>
      </c>
      <c r="C902" s="8" t="s">
        <v>26</v>
      </c>
    </row>
    <row r="903" spans="1:3" x14ac:dyDescent="0.25">
      <c r="A903" s="8">
        <v>6772434</v>
      </c>
      <c r="B903" s="9" t="s">
        <v>1162</v>
      </c>
      <c r="C903" s="8" t="s">
        <v>28</v>
      </c>
    </row>
    <row r="904" spans="1:3" x14ac:dyDescent="0.25">
      <c r="A904" s="8">
        <v>6772435</v>
      </c>
      <c r="B904" s="9" t="s">
        <v>1163</v>
      </c>
      <c r="C904" s="8" t="s">
        <v>26</v>
      </c>
    </row>
    <row r="905" spans="1:3" x14ac:dyDescent="0.25">
      <c r="A905" s="8">
        <v>6772436</v>
      </c>
      <c r="B905" s="9" t="s">
        <v>1164</v>
      </c>
      <c r="C905" s="8" t="s">
        <v>26</v>
      </c>
    </row>
    <row r="906" spans="1:3" x14ac:dyDescent="0.25">
      <c r="A906" s="8">
        <v>6772437</v>
      </c>
      <c r="B906" s="9" t="s">
        <v>1165</v>
      </c>
      <c r="C906" s="8" t="s">
        <v>28</v>
      </c>
    </row>
    <row r="907" spans="1:3" x14ac:dyDescent="0.25">
      <c r="A907" s="8">
        <v>6772438</v>
      </c>
      <c r="B907" s="9" t="s">
        <v>1166</v>
      </c>
      <c r="C907" s="8" t="s">
        <v>28</v>
      </c>
    </row>
    <row r="908" spans="1:3" x14ac:dyDescent="0.25">
      <c r="A908" s="8">
        <v>6772439</v>
      </c>
      <c r="B908" s="9" t="s">
        <v>1167</v>
      </c>
      <c r="C908" s="8" t="s">
        <v>28</v>
      </c>
    </row>
    <row r="909" spans="1:3" x14ac:dyDescent="0.25">
      <c r="A909" s="8">
        <v>6772440</v>
      </c>
      <c r="B909" s="9" t="s">
        <v>1168</v>
      </c>
      <c r="C909" s="8" t="s">
        <v>26</v>
      </c>
    </row>
    <row r="910" spans="1:3" x14ac:dyDescent="0.25">
      <c r="A910" s="8">
        <v>6772441</v>
      </c>
      <c r="B910" s="9" t="s">
        <v>1169</v>
      </c>
      <c r="C910" s="8" t="s">
        <v>26</v>
      </c>
    </row>
    <row r="911" spans="1:3" x14ac:dyDescent="0.25">
      <c r="A911" s="8">
        <v>6772442</v>
      </c>
      <c r="B911" s="9" t="s">
        <v>1170</v>
      </c>
      <c r="C911" s="8" t="s">
        <v>28</v>
      </c>
    </row>
    <row r="912" spans="1:3" x14ac:dyDescent="0.25">
      <c r="A912" s="8">
        <v>6772443</v>
      </c>
      <c r="B912" s="9" t="s">
        <v>1171</v>
      </c>
      <c r="C912" s="8" t="s">
        <v>28</v>
      </c>
    </row>
    <row r="913" spans="1:3" x14ac:dyDescent="0.25">
      <c r="A913" s="8">
        <v>6772444</v>
      </c>
      <c r="B913" s="9" t="s">
        <v>1172</v>
      </c>
      <c r="C913" s="8" t="s">
        <v>28</v>
      </c>
    </row>
    <row r="914" spans="1:3" x14ac:dyDescent="0.25">
      <c r="A914" s="8">
        <v>6772445</v>
      </c>
      <c r="B914" s="9" t="s">
        <v>1173</v>
      </c>
      <c r="C914" s="8" t="s">
        <v>26</v>
      </c>
    </row>
    <row r="915" spans="1:3" x14ac:dyDescent="0.25">
      <c r="A915" s="8">
        <v>6772447</v>
      </c>
      <c r="B915" s="9" t="s">
        <v>64</v>
      </c>
      <c r="C915" s="8" t="s">
        <v>26</v>
      </c>
    </row>
    <row r="916" spans="1:3" x14ac:dyDescent="0.25">
      <c r="A916" s="8">
        <v>6772448</v>
      </c>
      <c r="B916" s="9" t="s">
        <v>1174</v>
      </c>
      <c r="C916" s="8" t="s">
        <v>28</v>
      </c>
    </row>
    <row r="917" spans="1:3" x14ac:dyDescent="0.25">
      <c r="A917" s="8">
        <v>6772449</v>
      </c>
      <c r="B917" s="9" t="s">
        <v>1175</v>
      </c>
      <c r="C917" s="8" t="s">
        <v>26</v>
      </c>
    </row>
    <row r="918" spans="1:3" x14ac:dyDescent="0.25">
      <c r="A918" s="8">
        <v>6772450</v>
      </c>
      <c r="B918" s="9" t="s">
        <v>1176</v>
      </c>
      <c r="C918" s="8" t="s">
        <v>26</v>
      </c>
    </row>
    <row r="919" spans="1:3" x14ac:dyDescent="0.25">
      <c r="A919" s="8">
        <v>6772453</v>
      </c>
      <c r="B919" s="9" t="s">
        <v>1177</v>
      </c>
      <c r="C919" s="8" t="s">
        <v>26</v>
      </c>
    </row>
    <row r="920" spans="1:3" x14ac:dyDescent="0.25">
      <c r="A920" s="8">
        <v>6772456</v>
      </c>
      <c r="B920" s="9" t="s">
        <v>1178</v>
      </c>
      <c r="C920" s="8" t="s">
        <v>26</v>
      </c>
    </row>
    <row r="921" spans="1:3" x14ac:dyDescent="0.25">
      <c r="A921" s="8">
        <v>6772457</v>
      </c>
      <c r="B921" s="9" t="s">
        <v>1179</v>
      </c>
      <c r="C921" s="8" t="s">
        <v>26</v>
      </c>
    </row>
    <row r="922" spans="1:3" x14ac:dyDescent="0.25">
      <c r="A922" s="8">
        <v>6772459</v>
      </c>
      <c r="B922" s="9" t="s">
        <v>1180</v>
      </c>
      <c r="C922" s="8" t="s">
        <v>26</v>
      </c>
    </row>
    <row r="923" spans="1:3" x14ac:dyDescent="0.25">
      <c r="A923" s="8">
        <v>6772460</v>
      </c>
      <c r="B923" s="9" t="s">
        <v>1181</v>
      </c>
      <c r="C923" s="8" t="s">
        <v>26</v>
      </c>
    </row>
    <row r="924" spans="1:3" x14ac:dyDescent="0.25">
      <c r="A924" s="8">
        <v>6772464</v>
      </c>
      <c r="B924" s="9" t="s">
        <v>1182</v>
      </c>
      <c r="C924" s="8" t="s">
        <v>28</v>
      </c>
    </row>
    <row r="925" spans="1:3" x14ac:dyDescent="0.25">
      <c r="A925" s="8">
        <v>6772466</v>
      </c>
      <c r="B925" s="9" t="s">
        <v>1183</v>
      </c>
      <c r="C925" s="8" t="s">
        <v>28</v>
      </c>
    </row>
    <row r="926" spans="1:3" x14ac:dyDescent="0.25">
      <c r="A926" s="8">
        <v>6772469</v>
      </c>
      <c r="B926" s="9" t="s">
        <v>1184</v>
      </c>
      <c r="C926" s="8" t="s">
        <v>26</v>
      </c>
    </row>
    <row r="927" spans="1:3" x14ac:dyDescent="0.25">
      <c r="A927" s="8">
        <v>6772470</v>
      </c>
      <c r="B927" s="9" t="s">
        <v>1185</v>
      </c>
      <c r="C927" s="8" t="s">
        <v>26</v>
      </c>
    </row>
    <row r="928" spans="1:3" x14ac:dyDescent="0.25">
      <c r="A928" s="8">
        <v>6772471</v>
      </c>
      <c r="B928" s="9" t="s">
        <v>1186</v>
      </c>
      <c r="C928" s="8" t="s">
        <v>28</v>
      </c>
    </row>
    <row r="929" spans="1:3" x14ac:dyDescent="0.25">
      <c r="A929" s="8">
        <v>6772474</v>
      </c>
      <c r="B929" s="9" t="s">
        <v>1187</v>
      </c>
      <c r="C929" s="8" t="s">
        <v>26</v>
      </c>
    </row>
    <row r="930" spans="1:3" x14ac:dyDescent="0.25">
      <c r="A930" s="8">
        <v>6772479</v>
      </c>
      <c r="B930" s="9" t="s">
        <v>1188</v>
      </c>
      <c r="C930" s="8" t="s">
        <v>28</v>
      </c>
    </row>
    <row r="931" spans="1:3" x14ac:dyDescent="0.25">
      <c r="A931" s="8">
        <v>6772485</v>
      </c>
      <c r="B931" s="9" t="s">
        <v>1189</v>
      </c>
      <c r="C931" s="8" t="s">
        <v>28</v>
      </c>
    </row>
    <row r="932" spans="1:3" x14ac:dyDescent="0.25">
      <c r="A932" s="8">
        <v>6772486</v>
      </c>
      <c r="B932" s="9" t="s">
        <v>1190</v>
      </c>
      <c r="C932" s="8" t="s">
        <v>26</v>
      </c>
    </row>
    <row r="933" spans="1:3" x14ac:dyDescent="0.25">
      <c r="A933" s="8">
        <v>6772488</v>
      </c>
      <c r="B933" s="9" t="s">
        <v>1191</v>
      </c>
      <c r="C933" s="8" t="s">
        <v>28</v>
      </c>
    </row>
    <row r="934" spans="1:3" x14ac:dyDescent="0.25">
      <c r="A934" s="8">
        <v>6772489</v>
      </c>
      <c r="B934" s="9" t="s">
        <v>1192</v>
      </c>
      <c r="C934" s="8" t="s">
        <v>28</v>
      </c>
    </row>
    <row r="935" spans="1:3" x14ac:dyDescent="0.25">
      <c r="A935" s="8">
        <v>6772490</v>
      </c>
      <c r="B935" s="9" t="s">
        <v>1193</v>
      </c>
      <c r="C935" s="8" t="s">
        <v>28</v>
      </c>
    </row>
    <row r="936" spans="1:3" x14ac:dyDescent="0.25">
      <c r="A936" s="8">
        <v>6772491</v>
      </c>
      <c r="B936" s="9" t="s">
        <v>1194</v>
      </c>
      <c r="C936" s="8" t="s">
        <v>26</v>
      </c>
    </row>
    <row r="937" spans="1:3" x14ac:dyDescent="0.25">
      <c r="A937" s="8">
        <v>6772492</v>
      </c>
      <c r="B937" s="9" t="s">
        <v>1195</v>
      </c>
      <c r="C937" s="8" t="s">
        <v>26</v>
      </c>
    </row>
    <row r="938" spans="1:3" x14ac:dyDescent="0.25">
      <c r="A938" s="8">
        <v>6772493</v>
      </c>
      <c r="B938" s="9" t="s">
        <v>1196</v>
      </c>
      <c r="C938" s="8" t="s">
        <v>26</v>
      </c>
    </row>
    <row r="939" spans="1:3" x14ac:dyDescent="0.25">
      <c r="A939" s="8">
        <v>6772496</v>
      </c>
      <c r="B939" s="9" t="s">
        <v>1197</v>
      </c>
      <c r="C939" s="8" t="s">
        <v>26</v>
      </c>
    </row>
    <row r="940" spans="1:3" x14ac:dyDescent="0.25">
      <c r="A940" s="8">
        <v>6772500</v>
      </c>
      <c r="B940" s="9" t="s">
        <v>1198</v>
      </c>
      <c r="C940" s="8" t="s">
        <v>26</v>
      </c>
    </row>
    <row r="941" spans="1:3" x14ac:dyDescent="0.25">
      <c r="A941" s="8">
        <v>6772501</v>
      </c>
      <c r="B941" s="9" t="s">
        <v>1199</v>
      </c>
      <c r="C941" s="8" t="s">
        <v>26</v>
      </c>
    </row>
    <row r="942" spans="1:3" x14ac:dyDescent="0.25">
      <c r="A942" s="8">
        <v>6772502</v>
      </c>
      <c r="B942" s="9" t="s">
        <v>1200</v>
      </c>
      <c r="C942" s="8" t="s">
        <v>26</v>
      </c>
    </row>
    <row r="943" spans="1:3" x14ac:dyDescent="0.25">
      <c r="A943" s="8">
        <v>6772504</v>
      </c>
      <c r="B943" s="9" t="s">
        <v>1201</v>
      </c>
      <c r="C943" s="8" t="s">
        <v>26</v>
      </c>
    </row>
    <row r="944" spans="1:3" x14ac:dyDescent="0.25">
      <c r="A944" s="8">
        <v>6772508</v>
      </c>
      <c r="B944" s="9" t="s">
        <v>1202</v>
      </c>
      <c r="C944" s="8" t="s">
        <v>28</v>
      </c>
    </row>
    <row r="945" spans="1:3" x14ac:dyDescent="0.25">
      <c r="A945" s="8">
        <v>6772514</v>
      </c>
      <c r="B945" s="9" t="s">
        <v>65</v>
      </c>
      <c r="C945" s="8" t="s">
        <v>26</v>
      </c>
    </row>
    <row r="946" spans="1:3" x14ac:dyDescent="0.25">
      <c r="A946" s="8">
        <v>6772523</v>
      </c>
      <c r="B946" s="9" t="s">
        <v>66</v>
      </c>
      <c r="C946" s="8" t="s">
        <v>26</v>
      </c>
    </row>
    <row r="947" spans="1:3" x14ac:dyDescent="0.25">
      <c r="A947" s="8">
        <v>6772524</v>
      </c>
      <c r="B947" s="9" t="s">
        <v>1203</v>
      </c>
      <c r="C947" s="8" t="s">
        <v>26</v>
      </c>
    </row>
    <row r="948" spans="1:3" x14ac:dyDescent="0.25">
      <c r="A948" s="8">
        <v>6772525</v>
      </c>
      <c r="B948" s="9" t="s">
        <v>1204</v>
      </c>
      <c r="C948" s="8" t="s">
        <v>26</v>
      </c>
    </row>
    <row r="949" spans="1:3" x14ac:dyDescent="0.25">
      <c r="A949" s="8">
        <v>6772527</v>
      </c>
      <c r="B949" s="9" t="s">
        <v>67</v>
      </c>
      <c r="C949" s="8" t="s">
        <v>26</v>
      </c>
    </row>
    <row r="950" spans="1:3" x14ac:dyDescent="0.25">
      <c r="A950" s="8">
        <v>6772530</v>
      </c>
      <c r="B950" s="9" t="s">
        <v>1205</v>
      </c>
      <c r="C950" s="8" t="s">
        <v>26</v>
      </c>
    </row>
    <row r="951" spans="1:3" x14ac:dyDescent="0.25">
      <c r="A951" s="8">
        <v>6772532</v>
      </c>
      <c r="B951" s="9" t="s">
        <v>1206</v>
      </c>
      <c r="C951" s="8" t="s">
        <v>26</v>
      </c>
    </row>
    <row r="952" spans="1:3" x14ac:dyDescent="0.25">
      <c r="A952" s="8">
        <v>6772534</v>
      </c>
      <c r="B952" s="9" t="s">
        <v>1207</v>
      </c>
      <c r="C952" s="8" t="s">
        <v>26</v>
      </c>
    </row>
    <row r="953" spans="1:3" x14ac:dyDescent="0.25">
      <c r="A953" s="8">
        <v>6772535</v>
      </c>
      <c r="B953" s="9" t="s">
        <v>1208</v>
      </c>
      <c r="C953" s="8" t="s">
        <v>26</v>
      </c>
    </row>
    <row r="954" spans="1:3" x14ac:dyDescent="0.25">
      <c r="A954" s="8">
        <v>6772536</v>
      </c>
      <c r="B954" s="9" t="s">
        <v>1209</v>
      </c>
      <c r="C954" s="8" t="s">
        <v>28</v>
      </c>
    </row>
    <row r="955" spans="1:3" x14ac:dyDescent="0.25">
      <c r="A955" s="8">
        <v>6772538</v>
      </c>
      <c r="B955" s="9" t="s">
        <v>1210</v>
      </c>
      <c r="C955" s="8" t="s">
        <v>26</v>
      </c>
    </row>
    <row r="956" spans="1:3" x14ac:dyDescent="0.25">
      <c r="A956" s="8">
        <v>6772539</v>
      </c>
      <c r="B956" s="9" t="s">
        <v>1211</v>
      </c>
      <c r="C956" s="8" t="s">
        <v>26</v>
      </c>
    </row>
    <row r="957" spans="1:3" x14ac:dyDescent="0.25">
      <c r="A957" s="8">
        <v>6772547</v>
      </c>
      <c r="B957" s="9" t="s">
        <v>1212</v>
      </c>
      <c r="C957" s="8" t="s">
        <v>28</v>
      </c>
    </row>
    <row r="958" spans="1:3" x14ac:dyDescent="0.25">
      <c r="A958" s="8">
        <v>6772550</v>
      </c>
      <c r="B958" s="9" t="s">
        <v>1213</v>
      </c>
      <c r="C958" s="8" t="s">
        <v>26</v>
      </c>
    </row>
    <row r="959" spans="1:3" x14ac:dyDescent="0.25">
      <c r="A959" s="8">
        <v>6772552</v>
      </c>
      <c r="B959" s="9" t="s">
        <v>1214</v>
      </c>
      <c r="C959" s="8" t="s">
        <v>26</v>
      </c>
    </row>
    <row r="960" spans="1:3" x14ac:dyDescent="0.25">
      <c r="A960" s="8">
        <v>6772553</v>
      </c>
      <c r="B960" s="9" t="s">
        <v>1215</v>
      </c>
      <c r="C960" s="8" t="s">
        <v>26</v>
      </c>
    </row>
    <row r="961" spans="1:3" x14ac:dyDescent="0.25">
      <c r="A961" s="8">
        <v>6772554</v>
      </c>
      <c r="B961" s="9" t="s">
        <v>1216</v>
      </c>
      <c r="C961" s="8" t="s">
        <v>28</v>
      </c>
    </row>
    <row r="962" spans="1:3" x14ac:dyDescent="0.25">
      <c r="A962" s="8">
        <v>6772691</v>
      </c>
      <c r="B962" s="9" t="s">
        <v>1217</v>
      </c>
      <c r="C962" s="8" t="s">
        <v>26</v>
      </c>
    </row>
    <row r="963" spans="1:3" x14ac:dyDescent="0.25">
      <c r="A963" s="8">
        <v>6772694</v>
      </c>
      <c r="B963" s="9" t="s">
        <v>1218</v>
      </c>
      <c r="C963" s="8" t="s">
        <v>26</v>
      </c>
    </row>
    <row r="964" spans="1:3" x14ac:dyDescent="0.25">
      <c r="A964" s="8">
        <v>6772696</v>
      </c>
      <c r="B964" s="9" t="s">
        <v>1219</v>
      </c>
      <c r="C964" s="8" t="s">
        <v>26</v>
      </c>
    </row>
    <row r="965" spans="1:3" x14ac:dyDescent="0.25">
      <c r="A965" s="8">
        <v>6772698</v>
      </c>
      <c r="B965" s="9" t="s">
        <v>1220</v>
      </c>
      <c r="C965" s="8" t="s">
        <v>26</v>
      </c>
    </row>
    <row r="966" spans="1:3" x14ac:dyDescent="0.25">
      <c r="A966" s="8">
        <v>6772700</v>
      </c>
      <c r="B966" s="9" t="s">
        <v>1221</v>
      </c>
      <c r="C966" s="8" t="s">
        <v>26</v>
      </c>
    </row>
    <row r="967" spans="1:3" x14ac:dyDescent="0.25">
      <c r="A967" s="8">
        <v>6772701</v>
      </c>
      <c r="B967" s="9" t="s">
        <v>1222</v>
      </c>
      <c r="C967" s="8" t="s">
        <v>26</v>
      </c>
    </row>
    <row r="968" spans="1:3" x14ac:dyDescent="0.25">
      <c r="A968" s="8">
        <v>6772702</v>
      </c>
      <c r="B968" s="9" t="s">
        <v>1223</v>
      </c>
      <c r="C968" s="8" t="s">
        <v>26</v>
      </c>
    </row>
    <row r="969" spans="1:3" x14ac:dyDescent="0.25">
      <c r="A969" s="8">
        <v>6772707</v>
      </c>
      <c r="B969" s="9" t="s">
        <v>1224</v>
      </c>
      <c r="C969" s="8" t="s">
        <v>27</v>
      </c>
    </row>
    <row r="970" spans="1:3" x14ac:dyDescent="0.25">
      <c r="A970" s="8">
        <v>6772720</v>
      </c>
      <c r="B970" s="9" t="s">
        <v>1225</v>
      </c>
      <c r="C970" s="8" t="s">
        <v>27</v>
      </c>
    </row>
    <row r="971" spans="1:3" x14ac:dyDescent="0.25">
      <c r="A971" s="8">
        <v>6772721</v>
      </c>
      <c r="B971" s="9" t="s">
        <v>1226</v>
      </c>
      <c r="C971" s="8" t="s">
        <v>26</v>
      </c>
    </row>
    <row r="972" spans="1:3" x14ac:dyDescent="0.25">
      <c r="A972" s="8">
        <v>6772722</v>
      </c>
      <c r="B972" s="9" t="s">
        <v>1227</v>
      </c>
      <c r="C972" s="8" t="s">
        <v>26</v>
      </c>
    </row>
    <row r="973" spans="1:3" x14ac:dyDescent="0.25">
      <c r="A973" s="8">
        <v>6772723</v>
      </c>
      <c r="B973" s="9" t="s">
        <v>1228</v>
      </c>
      <c r="C973" s="8" t="s">
        <v>26</v>
      </c>
    </row>
    <row r="974" spans="1:3" x14ac:dyDescent="0.25">
      <c r="A974" s="8">
        <v>6772724</v>
      </c>
      <c r="B974" s="9" t="s">
        <v>1229</v>
      </c>
      <c r="C974" s="8" t="s">
        <v>26</v>
      </c>
    </row>
    <row r="975" spans="1:3" x14ac:dyDescent="0.25">
      <c r="A975" s="8">
        <v>6772725</v>
      </c>
      <c r="B975" s="9" t="s">
        <v>1230</v>
      </c>
      <c r="C975" s="8" t="s">
        <v>26</v>
      </c>
    </row>
    <row r="976" spans="1:3" x14ac:dyDescent="0.25">
      <c r="A976" s="8">
        <v>6772726</v>
      </c>
      <c r="B976" s="9" t="s">
        <v>1231</v>
      </c>
      <c r="C976" s="8" t="s">
        <v>26</v>
      </c>
    </row>
    <row r="977" spans="1:3" x14ac:dyDescent="0.25">
      <c r="A977" s="8">
        <v>6772727</v>
      </c>
      <c r="B977" s="9" t="s">
        <v>1232</v>
      </c>
      <c r="C977" s="8" t="s">
        <v>26</v>
      </c>
    </row>
    <row r="978" spans="1:3" x14ac:dyDescent="0.25">
      <c r="A978" s="8">
        <v>6772728</v>
      </c>
      <c r="B978" s="9" t="s">
        <v>1233</v>
      </c>
      <c r="C978" s="8" t="s">
        <v>26</v>
      </c>
    </row>
    <row r="979" spans="1:3" x14ac:dyDescent="0.25">
      <c r="A979" s="8">
        <v>6772729</v>
      </c>
      <c r="B979" s="9" t="s">
        <v>1234</v>
      </c>
      <c r="C979" s="8" t="s">
        <v>26</v>
      </c>
    </row>
    <row r="980" spans="1:3" x14ac:dyDescent="0.25">
      <c r="A980" s="8">
        <v>6772730</v>
      </c>
      <c r="B980" s="9" t="s">
        <v>1235</v>
      </c>
      <c r="C980" s="8" t="s">
        <v>26</v>
      </c>
    </row>
    <row r="981" spans="1:3" x14ac:dyDescent="0.25">
      <c r="A981" s="8">
        <v>6772887</v>
      </c>
      <c r="B981" s="9" t="s">
        <v>1236</v>
      </c>
      <c r="C981" s="8" t="s">
        <v>26</v>
      </c>
    </row>
    <row r="982" spans="1:3" x14ac:dyDescent="0.25">
      <c r="A982" s="8">
        <v>6772889</v>
      </c>
      <c r="B982" s="9" t="s">
        <v>1237</v>
      </c>
      <c r="C982" s="8" t="s">
        <v>26</v>
      </c>
    </row>
    <row r="983" spans="1:3" x14ac:dyDescent="0.25">
      <c r="A983" s="8">
        <v>6772920</v>
      </c>
      <c r="B983" s="9" t="s">
        <v>1238</v>
      </c>
      <c r="C983" s="8" t="s">
        <v>26</v>
      </c>
    </row>
    <row r="984" spans="1:3" x14ac:dyDescent="0.25">
      <c r="A984" s="8">
        <v>6772999</v>
      </c>
      <c r="B984" s="9" t="s">
        <v>370</v>
      </c>
      <c r="C984" s="8" t="s">
        <v>26</v>
      </c>
    </row>
    <row r="985" spans="1:3" x14ac:dyDescent="0.25">
      <c r="A985" s="8">
        <v>6773189</v>
      </c>
      <c r="B985" s="9" t="s">
        <v>1239</v>
      </c>
      <c r="C985" s="8" t="s">
        <v>28</v>
      </c>
    </row>
    <row r="986" spans="1:3" x14ac:dyDescent="0.25">
      <c r="A986" s="8">
        <v>6773199</v>
      </c>
      <c r="B986" s="9" t="s">
        <v>1240</v>
      </c>
      <c r="C986" s="8" t="s">
        <v>26</v>
      </c>
    </row>
    <row r="987" spans="1:3" x14ac:dyDescent="0.25">
      <c r="A987" s="8">
        <v>6773201</v>
      </c>
      <c r="B987" s="9" t="s">
        <v>1241</v>
      </c>
      <c r="C987" s="8" t="s">
        <v>26</v>
      </c>
    </row>
    <row r="988" spans="1:3" x14ac:dyDescent="0.25">
      <c r="A988" s="8">
        <v>6773202</v>
      </c>
      <c r="B988" s="9" t="s">
        <v>1242</v>
      </c>
      <c r="C988" s="8" t="s">
        <v>26</v>
      </c>
    </row>
    <row r="989" spans="1:3" x14ac:dyDescent="0.25">
      <c r="A989" s="8">
        <v>6773203</v>
      </c>
      <c r="B989" s="9" t="s">
        <v>1243</v>
      </c>
      <c r="C989" s="8" t="s">
        <v>28</v>
      </c>
    </row>
    <row r="990" spans="1:3" x14ac:dyDescent="0.25">
      <c r="A990" s="8">
        <v>6773204</v>
      </c>
      <c r="B990" s="9" t="s">
        <v>1244</v>
      </c>
      <c r="C990" s="8" t="s">
        <v>26</v>
      </c>
    </row>
    <row r="991" spans="1:3" x14ac:dyDescent="0.25">
      <c r="A991" s="8">
        <v>6773386</v>
      </c>
      <c r="B991" s="9" t="s">
        <v>1245</v>
      </c>
      <c r="C991" s="8" t="s">
        <v>26</v>
      </c>
    </row>
    <row r="992" spans="1:3" x14ac:dyDescent="0.25">
      <c r="A992" s="8">
        <v>6773387</v>
      </c>
      <c r="B992" s="9" t="s">
        <v>326</v>
      </c>
      <c r="C992" s="8" t="s">
        <v>26</v>
      </c>
    </row>
    <row r="993" spans="1:3" x14ac:dyDescent="0.25">
      <c r="A993" s="8">
        <v>6773388</v>
      </c>
      <c r="B993" s="9" t="s">
        <v>327</v>
      </c>
      <c r="C993" s="8" t="s">
        <v>26</v>
      </c>
    </row>
    <row r="994" spans="1:3" x14ac:dyDescent="0.25">
      <c r="A994" s="8">
        <v>6773389</v>
      </c>
      <c r="B994" s="9" t="s">
        <v>328</v>
      </c>
      <c r="C994" s="8" t="s">
        <v>26</v>
      </c>
    </row>
    <row r="995" spans="1:3" x14ac:dyDescent="0.25">
      <c r="A995" s="8">
        <v>6773390</v>
      </c>
      <c r="B995" s="9" t="s">
        <v>329</v>
      </c>
      <c r="C995" s="8" t="s">
        <v>26</v>
      </c>
    </row>
    <row r="996" spans="1:3" x14ac:dyDescent="0.25">
      <c r="A996" s="8">
        <v>6773391</v>
      </c>
      <c r="B996" s="9" t="s">
        <v>1246</v>
      </c>
      <c r="C996" s="8" t="s">
        <v>26</v>
      </c>
    </row>
    <row r="997" spans="1:3" x14ac:dyDescent="0.25">
      <c r="A997" s="8">
        <v>6773392</v>
      </c>
      <c r="B997" s="9" t="s">
        <v>1247</v>
      </c>
      <c r="C997" s="8" t="s">
        <v>26</v>
      </c>
    </row>
    <row r="998" spans="1:3" x14ac:dyDescent="0.25">
      <c r="A998" s="8">
        <v>6773393</v>
      </c>
      <c r="B998" s="9" t="s">
        <v>323</v>
      </c>
      <c r="C998" s="8" t="s">
        <v>26</v>
      </c>
    </row>
    <row r="999" spans="1:3" x14ac:dyDescent="0.25">
      <c r="A999" s="8">
        <v>6773394</v>
      </c>
      <c r="B999" s="9" t="s">
        <v>324</v>
      </c>
      <c r="C999" s="8" t="s">
        <v>26</v>
      </c>
    </row>
    <row r="1000" spans="1:3" x14ac:dyDescent="0.25">
      <c r="A1000" s="8">
        <v>6773396</v>
      </c>
      <c r="B1000" s="9" t="s">
        <v>325</v>
      </c>
      <c r="C1000" s="8" t="s">
        <v>26</v>
      </c>
    </row>
    <row r="1001" spans="1:3" x14ac:dyDescent="0.25">
      <c r="A1001" s="8">
        <v>6773499</v>
      </c>
      <c r="B1001" s="9" t="s">
        <v>1248</v>
      </c>
      <c r="C1001" s="8" t="s">
        <v>27</v>
      </c>
    </row>
    <row r="1002" spans="1:3" x14ac:dyDescent="0.25">
      <c r="A1002" s="8">
        <v>6773786</v>
      </c>
      <c r="B1002" s="9" t="s">
        <v>1249</v>
      </c>
      <c r="C1002" s="8" t="s">
        <v>26</v>
      </c>
    </row>
    <row r="1003" spans="1:3" x14ac:dyDescent="0.25">
      <c r="A1003" s="8">
        <v>6773788</v>
      </c>
      <c r="B1003" s="9" t="s">
        <v>1250</v>
      </c>
      <c r="C1003" s="8" t="s">
        <v>26</v>
      </c>
    </row>
    <row r="1004" spans="1:3" x14ac:dyDescent="0.25">
      <c r="A1004" s="8">
        <v>6773884</v>
      </c>
      <c r="B1004" s="9" t="s">
        <v>1251</v>
      </c>
      <c r="C1004" s="8" t="s">
        <v>27</v>
      </c>
    </row>
    <row r="1005" spans="1:3" x14ac:dyDescent="0.25">
      <c r="A1005" s="8">
        <v>6774159</v>
      </c>
      <c r="B1005" s="9" t="s">
        <v>1252</v>
      </c>
      <c r="C1005" s="8" t="s">
        <v>27</v>
      </c>
    </row>
    <row r="1006" spans="1:3" x14ac:dyDescent="0.25">
      <c r="A1006" s="8">
        <v>6774165</v>
      </c>
      <c r="B1006" s="9" t="s">
        <v>1253</v>
      </c>
      <c r="C1006" s="8" t="s">
        <v>26</v>
      </c>
    </row>
    <row r="1007" spans="1:3" x14ac:dyDescent="0.25">
      <c r="A1007" s="8">
        <v>6774177</v>
      </c>
      <c r="B1007" s="9" t="s">
        <v>1254</v>
      </c>
      <c r="C1007" s="8" t="s">
        <v>26</v>
      </c>
    </row>
    <row r="1008" spans="1:3" x14ac:dyDescent="0.25">
      <c r="A1008" s="8">
        <v>6774178</v>
      </c>
      <c r="B1008" s="9" t="s">
        <v>1255</v>
      </c>
      <c r="C1008" s="8" t="s">
        <v>26</v>
      </c>
    </row>
    <row r="1009" spans="1:3" x14ac:dyDescent="0.25">
      <c r="A1009" s="8">
        <v>6774180</v>
      </c>
      <c r="B1009" s="9" t="s">
        <v>1256</v>
      </c>
      <c r="C1009" s="8" t="s">
        <v>26</v>
      </c>
    </row>
    <row r="1010" spans="1:3" x14ac:dyDescent="0.25">
      <c r="A1010" s="8">
        <v>6774183</v>
      </c>
      <c r="B1010" s="9" t="s">
        <v>1257</v>
      </c>
      <c r="C1010" s="8" t="s">
        <v>26</v>
      </c>
    </row>
    <row r="1011" spans="1:3" x14ac:dyDescent="0.25">
      <c r="A1011" s="8">
        <v>6774184</v>
      </c>
      <c r="B1011" s="9" t="s">
        <v>1258</v>
      </c>
      <c r="C1011" s="8" t="s">
        <v>26</v>
      </c>
    </row>
    <row r="1012" spans="1:3" x14ac:dyDescent="0.25">
      <c r="A1012" s="8">
        <v>6774200</v>
      </c>
      <c r="B1012" s="9" t="s">
        <v>1259</v>
      </c>
      <c r="C1012" s="8" t="s">
        <v>26</v>
      </c>
    </row>
    <row r="1013" spans="1:3" x14ac:dyDescent="0.25">
      <c r="A1013" s="8">
        <v>6774201</v>
      </c>
      <c r="B1013" s="9" t="s">
        <v>1260</v>
      </c>
      <c r="C1013" s="8" t="s">
        <v>26</v>
      </c>
    </row>
    <row r="1014" spans="1:3" x14ac:dyDescent="0.25">
      <c r="A1014" s="8">
        <v>6774202</v>
      </c>
      <c r="B1014" s="9" t="s">
        <v>1261</v>
      </c>
      <c r="C1014" s="8" t="s">
        <v>26</v>
      </c>
    </row>
    <row r="1015" spans="1:3" x14ac:dyDescent="0.25">
      <c r="A1015" s="8">
        <v>6774203</v>
      </c>
      <c r="B1015" s="9" t="s">
        <v>1262</v>
      </c>
      <c r="C1015" s="8" t="s">
        <v>26</v>
      </c>
    </row>
    <row r="1016" spans="1:3" x14ac:dyDescent="0.25">
      <c r="A1016" s="8">
        <v>6774204</v>
      </c>
      <c r="B1016" s="9" t="s">
        <v>1263</v>
      </c>
      <c r="C1016" s="8" t="s">
        <v>26</v>
      </c>
    </row>
    <row r="1017" spans="1:3" x14ac:dyDescent="0.25">
      <c r="A1017" s="8">
        <v>6774205</v>
      </c>
      <c r="B1017" s="9" t="s">
        <v>1264</v>
      </c>
      <c r="C1017" s="8" t="s">
        <v>26</v>
      </c>
    </row>
    <row r="1018" spans="1:3" x14ac:dyDescent="0.25">
      <c r="A1018" s="8">
        <v>6774206</v>
      </c>
      <c r="B1018" s="9" t="s">
        <v>1265</v>
      </c>
      <c r="C1018" s="8" t="s">
        <v>26</v>
      </c>
    </row>
    <row r="1019" spans="1:3" x14ac:dyDescent="0.25">
      <c r="A1019" s="8">
        <v>6774464</v>
      </c>
      <c r="B1019" s="9" t="s">
        <v>1266</v>
      </c>
      <c r="C1019" s="8" t="s">
        <v>26</v>
      </c>
    </row>
    <row r="1020" spans="1:3" x14ac:dyDescent="0.25">
      <c r="A1020" s="8">
        <v>6774465</v>
      </c>
      <c r="B1020" s="9" t="s">
        <v>1267</v>
      </c>
      <c r="C1020" s="8" t="s">
        <v>26</v>
      </c>
    </row>
    <row r="1021" spans="1:3" x14ac:dyDescent="0.25">
      <c r="A1021" s="8">
        <v>6774510</v>
      </c>
      <c r="B1021" s="9" t="s">
        <v>1268</v>
      </c>
      <c r="C1021" s="8" t="s">
        <v>26</v>
      </c>
    </row>
    <row r="1022" spans="1:3" x14ac:dyDescent="0.25">
      <c r="A1022" s="8">
        <v>6774511</v>
      </c>
      <c r="B1022" s="9" t="s">
        <v>1269</v>
      </c>
      <c r="C1022" s="8" t="s">
        <v>26</v>
      </c>
    </row>
    <row r="1023" spans="1:3" x14ac:dyDescent="0.25">
      <c r="A1023" s="8">
        <v>6774512</v>
      </c>
      <c r="B1023" s="9" t="s">
        <v>1270</v>
      </c>
      <c r="C1023" s="8" t="s">
        <v>26</v>
      </c>
    </row>
    <row r="1024" spans="1:3" x14ac:dyDescent="0.25">
      <c r="A1024" s="8">
        <v>6774580</v>
      </c>
      <c r="B1024" s="9" t="s">
        <v>1271</v>
      </c>
      <c r="C1024" s="8" t="s">
        <v>26</v>
      </c>
    </row>
    <row r="1025" spans="1:3" x14ac:dyDescent="0.25">
      <c r="A1025" s="8">
        <v>6774581</v>
      </c>
      <c r="B1025" s="9" t="s">
        <v>1272</v>
      </c>
      <c r="C1025" s="8" t="s">
        <v>26</v>
      </c>
    </row>
    <row r="1026" spans="1:3" x14ac:dyDescent="0.25">
      <c r="A1026" s="8">
        <v>6774691</v>
      </c>
      <c r="B1026" s="9" t="s">
        <v>221</v>
      </c>
      <c r="C1026" s="8" t="s">
        <v>26</v>
      </c>
    </row>
    <row r="1027" spans="1:3" x14ac:dyDescent="0.25">
      <c r="A1027" s="8">
        <v>6774793</v>
      </c>
      <c r="B1027" s="9" t="s">
        <v>1273</v>
      </c>
      <c r="C1027" s="8" t="s">
        <v>27</v>
      </c>
    </row>
    <row r="1028" spans="1:3" x14ac:dyDescent="0.25">
      <c r="A1028" s="8">
        <v>6774795</v>
      </c>
      <c r="B1028" s="9" t="s">
        <v>1274</v>
      </c>
      <c r="C1028" s="8" t="s">
        <v>27</v>
      </c>
    </row>
    <row r="1029" spans="1:3" x14ac:dyDescent="0.25">
      <c r="A1029" s="8">
        <v>6774797</v>
      </c>
      <c r="B1029" s="9" t="s">
        <v>68</v>
      </c>
      <c r="C1029" s="8" t="s">
        <v>26</v>
      </c>
    </row>
    <row r="1030" spans="1:3" x14ac:dyDescent="0.25">
      <c r="A1030" s="8">
        <v>6774831</v>
      </c>
      <c r="B1030" s="9" t="s">
        <v>1275</v>
      </c>
      <c r="C1030" s="8" t="s">
        <v>26</v>
      </c>
    </row>
    <row r="1031" spans="1:3" x14ac:dyDescent="0.25">
      <c r="A1031" s="8">
        <v>6774932</v>
      </c>
      <c r="B1031" s="9" t="s">
        <v>1276</v>
      </c>
      <c r="C1031" s="8" t="s">
        <v>26</v>
      </c>
    </row>
    <row r="1032" spans="1:3" x14ac:dyDescent="0.25">
      <c r="A1032" s="8">
        <v>6774933</v>
      </c>
      <c r="B1032" s="9" t="s">
        <v>1277</v>
      </c>
      <c r="C1032" s="8" t="s">
        <v>26</v>
      </c>
    </row>
    <row r="1033" spans="1:3" x14ac:dyDescent="0.25">
      <c r="A1033" s="8">
        <v>6775111</v>
      </c>
      <c r="B1033" s="9" t="s">
        <v>1278</v>
      </c>
      <c r="C1033" s="8" t="s">
        <v>26</v>
      </c>
    </row>
    <row r="1034" spans="1:3" x14ac:dyDescent="0.25">
      <c r="A1034" s="8">
        <v>6775114</v>
      </c>
      <c r="B1034" s="9" t="s">
        <v>1279</v>
      </c>
      <c r="C1034" s="8" t="s">
        <v>26</v>
      </c>
    </row>
    <row r="1035" spans="1:3" x14ac:dyDescent="0.25">
      <c r="A1035" s="8">
        <v>6775115</v>
      </c>
      <c r="B1035" s="9" t="s">
        <v>1280</v>
      </c>
      <c r="C1035" s="8" t="s">
        <v>26</v>
      </c>
    </row>
    <row r="1036" spans="1:3" x14ac:dyDescent="0.25">
      <c r="A1036" s="8">
        <v>6775116</v>
      </c>
      <c r="B1036" s="9" t="s">
        <v>1281</v>
      </c>
      <c r="C1036" s="8" t="s">
        <v>26</v>
      </c>
    </row>
    <row r="1037" spans="1:3" x14ac:dyDescent="0.25">
      <c r="A1037" s="8">
        <v>6775118</v>
      </c>
      <c r="B1037" s="9" t="s">
        <v>1282</v>
      </c>
      <c r="C1037" s="8" t="s">
        <v>27</v>
      </c>
    </row>
    <row r="1038" spans="1:3" x14ac:dyDescent="0.25">
      <c r="A1038" s="8">
        <v>6775801</v>
      </c>
      <c r="B1038" s="9" t="s">
        <v>300</v>
      </c>
      <c r="C1038" s="8" t="s">
        <v>27</v>
      </c>
    </row>
    <row r="1039" spans="1:3" x14ac:dyDescent="0.25">
      <c r="A1039" s="8">
        <v>6775803</v>
      </c>
      <c r="B1039" s="9" t="s">
        <v>1283</v>
      </c>
      <c r="C1039" s="8" t="s">
        <v>26</v>
      </c>
    </row>
    <row r="1040" spans="1:3" x14ac:dyDescent="0.25">
      <c r="A1040" s="8">
        <v>6775805</v>
      </c>
      <c r="B1040" s="9" t="s">
        <v>1284</v>
      </c>
      <c r="C1040" s="8" t="s">
        <v>26</v>
      </c>
    </row>
    <row r="1041" spans="1:3" x14ac:dyDescent="0.25">
      <c r="A1041" s="8">
        <v>6775806</v>
      </c>
      <c r="B1041" s="9" t="s">
        <v>1285</v>
      </c>
      <c r="C1041" s="8" t="s">
        <v>26</v>
      </c>
    </row>
    <row r="1042" spans="1:3" x14ac:dyDescent="0.25">
      <c r="A1042" s="8">
        <v>6775807</v>
      </c>
      <c r="B1042" s="9" t="s">
        <v>1286</v>
      </c>
      <c r="C1042" s="8" t="s">
        <v>26</v>
      </c>
    </row>
    <row r="1043" spans="1:3" x14ac:dyDescent="0.25">
      <c r="A1043" s="8">
        <v>6775809</v>
      </c>
      <c r="B1043" s="9" t="s">
        <v>1287</v>
      </c>
      <c r="C1043" s="8" t="s">
        <v>26</v>
      </c>
    </row>
    <row r="1044" spans="1:3" x14ac:dyDescent="0.25">
      <c r="A1044" s="8">
        <v>6776196</v>
      </c>
      <c r="B1044" s="9" t="s">
        <v>1288</v>
      </c>
      <c r="C1044" s="8" t="s">
        <v>28</v>
      </c>
    </row>
    <row r="1045" spans="1:3" x14ac:dyDescent="0.25">
      <c r="A1045" s="8">
        <v>6776198</v>
      </c>
      <c r="B1045" s="9" t="s">
        <v>1289</v>
      </c>
      <c r="C1045" s="8" t="s">
        <v>28</v>
      </c>
    </row>
    <row r="1046" spans="1:3" x14ac:dyDescent="0.25">
      <c r="A1046" s="8">
        <v>6776199</v>
      </c>
      <c r="B1046" s="9" t="s">
        <v>1290</v>
      </c>
      <c r="C1046" s="8" t="s">
        <v>28</v>
      </c>
    </row>
    <row r="1047" spans="1:3" x14ac:dyDescent="0.25">
      <c r="A1047" s="8">
        <v>6776201</v>
      </c>
      <c r="B1047" s="9" t="s">
        <v>1291</v>
      </c>
      <c r="C1047" s="8" t="s">
        <v>26</v>
      </c>
    </row>
    <row r="1048" spans="1:3" x14ac:dyDescent="0.25">
      <c r="A1048" s="8">
        <v>6776207</v>
      </c>
      <c r="B1048" s="9" t="s">
        <v>1292</v>
      </c>
      <c r="C1048" s="8" t="s">
        <v>26</v>
      </c>
    </row>
    <row r="1049" spans="1:3" x14ac:dyDescent="0.25">
      <c r="A1049" s="8">
        <v>6776208</v>
      </c>
      <c r="B1049" s="9" t="s">
        <v>1292</v>
      </c>
      <c r="C1049" s="8" t="s">
        <v>26</v>
      </c>
    </row>
    <row r="1050" spans="1:3" x14ac:dyDescent="0.25">
      <c r="A1050" s="8">
        <v>6776209</v>
      </c>
      <c r="B1050" s="9" t="s">
        <v>1292</v>
      </c>
      <c r="C1050" s="8" t="s">
        <v>26</v>
      </c>
    </row>
    <row r="1051" spans="1:3" x14ac:dyDescent="0.25">
      <c r="A1051" s="8">
        <v>6776210</v>
      </c>
      <c r="B1051" s="9" t="s">
        <v>1293</v>
      </c>
      <c r="C1051" s="8" t="s">
        <v>26</v>
      </c>
    </row>
    <row r="1052" spans="1:3" x14ac:dyDescent="0.25">
      <c r="A1052" s="8">
        <v>6776211</v>
      </c>
      <c r="B1052" s="9" t="s">
        <v>1294</v>
      </c>
      <c r="C1052" s="8" t="s">
        <v>26</v>
      </c>
    </row>
    <row r="1053" spans="1:3" x14ac:dyDescent="0.25">
      <c r="A1053" s="8">
        <v>6776212</v>
      </c>
      <c r="B1053" s="9" t="s">
        <v>1295</v>
      </c>
      <c r="C1053" s="8" t="s">
        <v>26</v>
      </c>
    </row>
    <row r="1054" spans="1:3" x14ac:dyDescent="0.25">
      <c r="A1054" s="8">
        <v>6776213</v>
      </c>
      <c r="B1054" s="9" t="s">
        <v>1296</v>
      </c>
      <c r="C1054" s="8" t="s">
        <v>26</v>
      </c>
    </row>
    <row r="1055" spans="1:3" x14ac:dyDescent="0.25">
      <c r="A1055" s="8">
        <v>6776214</v>
      </c>
      <c r="B1055" s="9" t="s">
        <v>1296</v>
      </c>
      <c r="C1055" s="8" t="s">
        <v>26</v>
      </c>
    </row>
    <row r="1056" spans="1:3" x14ac:dyDescent="0.25">
      <c r="A1056" s="8">
        <v>6776215</v>
      </c>
      <c r="B1056" s="9" t="s">
        <v>1296</v>
      </c>
      <c r="C1056" s="8" t="s">
        <v>26</v>
      </c>
    </row>
    <row r="1057" spans="1:3" x14ac:dyDescent="0.25">
      <c r="A1057" s="8">
        <v>6776216</v>
      </c>
      <c r="B1057" s="9" t="s">
        <v>1296</v>
      </c>
      <c r="C1057" s="8" t="s">
        <v>26</v>
      </c>
    </row>
    <row r="1058" spans="1:3" x14ac:dyDescent="0.25">
      <c r="A1058" s="8">
        <v>6776218</v>
      </c>
      <c r="B1058" s="9" t="s">
        <v>1297</v>
      </c>
      <c r="C1058" s="8" t="s">
        <v>26</v>
      </c>
    </row>
    <row r="1059" spans="1:3" x14ac:dyDescent="0.25">
      <c r="A1059" s="8">
        <v>6776219</v>
      </c>
      <c r="B1059" s="9" t="s">
        <v>1297</v>
      </c>
      <c r="C1059" s="8" t="s">
        <v>26</v>
      </c>
    </row>
    <row r="1060" spans="1:3" x14ac:dyDescent="0.25">
      <c r="A1060" s="8">
        <v>6776220</v>
      </c>
      <c r="B1060" s="9" t="s">
        <v>1298</v>
      </c>
      <c r="C1060" s="8" t="s">
        <v>26</v>
      </c>
    </row>
    <row r="1061" spans="1:3" x14ac:dyDescent="0.25">
      <c r="A1061" s="8">
        <v>6776221</v>
      </c>
      <c r="B1061" s="9" t="s">
        <v>1299</v>
      </c>
      <c r="C1061" s="8" t="s">
        <v>26</v>
      </c>
    </row>
    <row r="1062" spans="1:3" x14ac:dyDescent="0.25">
      <c r="A1062" s="8">
        <v>6776222</v>
      </c>
      <c r="B1062" s="9" t="s">
        <v>1300</v>
      </c>
      <c r="C1062" s="8" t="s">
        <v>26</v>
      </c>
    </row>
    <row r="1063" spans="1:3" x14ac:dyDescent="0.25">
      <c r="A1063" s="8">
        <v>6776223</v>
      </c>
      <c r="B1063" s="9" t="s">
        <v>1301</v>
      </c>
      <c r="C1063" s="8" t="s">
        <v>26</v>
      </c>
    </row>
    <row r="1064" spans="1:3" x14ac:dyDescent="0.25">
      <c r="A1064" s="8">
        <v>6776225</v>
      </c>
      <c r="B1064" s="9" t="s">
        <v>1302</v>
      </c>
      <c r="C1064" s="8" t="s">
        <v>26</v>
      </c>
    </row>
    <row r="1065" spans="1:3" x14ac:dyDescent="0.25">
      <c r="A1065" s="8">
        <v>6776227</v>
      </c>
      <c r="B1065" s="9" t="s">
        <v>1303</v>
      </c>
      <c r="C1065" s="8" t="s">
        <v>26</v>
      </c>
    </row>
    <row r="1066" spans="1:3" x14ac:dyDescent="0.25">
      <c r="A1066" s="8">
        <v>6776228</v>
      </c>
      <c r="B1066" s="9" t="s">
        <v>1304</v>
      </c>
      <c r="C1066" s="8" t="s">
        <v>26</v>
      </c>
    </row>
    <row r="1067" spans="1:3" x14ac:dyDescent="0.25">
      <c r="A1067" s="8">
        <v>6776229</v>
      </c>
      <c r="B1067" s="9" t="s">
        <v>1305</v>
      </c>
      <c r="C1067" s="8" t="s">
        <v>26</v>
      </c>
    </row>
    <row r="1068" spans="1:3" x14ac:dyDescent="0.25">
      <c r="A1068" s="8">
        <v>6776240</v>
      </c>
      <c r="B1068" s="9" t="s">
        <v>1306</v>
      </c>
      <c r="C1068" s="8" t="s">
        <v>26</v>
      </c>
    </row>
    <row r="1069" spans="1:3" x14ac:dyDescent="0.25">
      <c r="A1069" s="8">
        <v>6776241</v>
      </c>
      <c r="B1069" s="9" t="s">
        <v>1307</v>
      </c>
      <c r="C1069" s="8" t="s">
        <v>26</v>
      </c>
    </row>
    <row r="1070" spans="1:3" x14ac:dyDescent="0.25">
      <c r="A1070" s="8">
        <v>6776242</v>
      </c>
      <c r="B1070" s="9" t="s">
        <v>1308</v>
      </c>
      <c r="C1070" s="8" t="s">
        <v>26</v>
      </c>
    </row>
    <row r="1071" spans="1:3" x14ac:dyDescent="0.25">
      <c r="A1071" s="8">
        <v>6776243</v>
      </c>
      <c r="B1071" s="9" t="s">
        <v>1309</v>
      </c>
      <c r="C1071" s="8" t="s">
        <v>26</v>
      </c>
    </row>
    <row r="1072" spans="1:3" x14ac:dyDescent="0.25">
      <c r="A1072" s="8">
        <v>6776244</v>
      </c>
      <c r="B1072" s="9" t="s">
        <v>1310</v>
      </c>
      <c r="C1072" s="8" t="s">
        <v>26</v>
      </c>
    </row>
    <row r="1073" spans="1:3" x14ac:dyDescent="0.25">
      <c r="A1073" s="8">
        <v>6776245</v>
      </c>
      <c r="B1073" s="9" t="s">
        <v>1311</v>
      </c>
      <c r="C1073" s="8" t="s">
        <v>26</v>
      </c>
    </row>
    <row r="1074" spans="1:3" x14ac:dyDescent="0.25">
      <c r="A1074" s="8">
        <v>6776247</v>
      </c>
      <c r="B1074" s="9" t="s">
        <v>1312</v>
      </c>
      <c r="C1074" s="8" t="s">
        <v>26</v>
      </c>
    </row>
    <row r="1075" spans="1:3" x14ac:dyDescent="0.25">
      <c r="A1075" s="8">
        <v>6776248</v>
      </c>
      <c r="B1075" s="9" t="s">
        <v>1313</v>
      </c>
      <c r="C1075" s="8" t="s">
        <v>26</v>
      </c>
    </row>
    <row r="1076" spans="1:3" x14ac:dyDescent="0.25">
      <c r="A1076" s="8">
        <v>6776249</v>
      </c>
      <c r="B1076" s="9" t="s">
        <v>1314</v>
      </c>
      <c r="C1076" s="8" t="s">
        <v>26</v>
      </c>
    </row>
    <row r="1077" spans="1:3" x14ac:dyDescent="0.25">
      <c r="A1077" s="8">
        <v>6776250</v>
      </c>
      <c r="B1077" s="9" t="s">
        <v>1315</v>
      </c>
      <c r="C1077" s="8" t="s">
        <v>26</v>
      </c>
    </row>
    <row r="1078" spans="1:3" x14ac:dyDescent="0.25">
      <c r="A1078" s="8">
        <v>6776251</v>
      </c>
      <c r="B1078" s="9" t="s">
        <v>1316</v>
      </c>
      <c r="C1078" s="8" t="s">
        <v>27</v>
      </c>
    </row>
    <row r="1079" spans="1:3" x14ac:dyDescent="0.25">
      <c r="A1079" s="8">
        <v>6776252</v>
      </c>
      <c r="B1079" s="9" t="s">
        <v>1317</v>
      </c>
      <c r="C1079" s="8" t="s">
        <v>26</v>
      </c>
    </row>
    <row r="1080" spans="1:3" x14ac:dyDescent="0.25">
      <c r="A1080" s="8">
        <v>6776253</v>
      </c>
      <c r="B1080" s="9" t="s">
        <v>1318</v>
      </c>
      <c r="C1080" s="8" t="s">
        <v>26</v>
      </c>
    </row>
    <row r="1081" spans="1:3" x14ac:dyDescent="0.25">
      <c r="A1081" s="8">
        <v>6776255</v>
      </c>
      <c r="B1081" s="9" t="s">
        <v>1318</v>
      </c>
      <c r="C1081" s="8" t="s">
        <v>26</v>
      </c>
    </row>
    <row r="1082" spans="1:3" x14ac:dyDescent="0.25">
      <c r="A1082" s="8">
        <v>6776256</v>
      </c>
      <c r="B1082" s="9" t="s">
        <v>1318</v>
      </c>
      <c r="C1082" s="8" t="s">
        <v>26</v>
      </c>
    </row>
    <row r="1083" spans="1:3" x14ac:dyDescent="0.25">
      <c r="A1083" s="8">
        <v>6776257</v>
      </c>
      <c r="B1083" s="9" t="s">
        <v>1318</v>
      </c>
      <c r="C1083" s="8" t="s">
        <v>26</v>
      </c>
    </row>
    <row r="1084" spans="1:3" x14ac:dyDescent="0.25">
      <c r="A1084" s="8">
        <v>6776260</v>
      </c>
      <c r="B1084" s="9" t="s">
        <v>1319</v>
      </c>
      <c r="C1084" s="8" t="s">
        <v>26</v>
      </c>
    </row>
    <row r="1085" spans="1:3" x14ac:dyDescent="0.25">
      <c r="A1085" s="8">
        <v>6776262</v>
      </c>
      <c r="B1085" s="9" t="s">
        <v>1319</v>
      </c>
      <c r="C1085" s="8" t="s">
        <v>26</v>
      </c>
    </row>
    <row r="1086" spans="1:3" x14ac:dyDescent="0.25">
      <c r="A1086" s="8">
        <v>6776265</v>
      </c>
      <c r="B1086" s="9" t="s">
        <v>1319</v>
      </c>
      <c r="C1086" s="8" t="s">
        <v>26</v>
      </c>
    </row>
    <row r="1087" spans="1:3" x14ac:dyDescent="0.25">
      <c r="A1087" s="8">
        <v>6776266</v>
      </c>
      <c r="B1087" s="9" t="s">
        <v>1319</v>
      </c>
      <c r="C1087" s="8" t="s">
        <v>26</v>
      </c>
    </row>
    <row r="1088" spans="1:3" x14ac:dyDescent="0.25">
      <c r="A1088" s="8">
        <v>6776268</v>
      </c>
      <c r="B1088" s="9" t="s">
        <v>1320</v>
      </c>
      <c r="C1088" s="8" t="s">
        <v>27</v>
      </c>
    </row>
    <row r="1089" spans="1:3" x14ac:dyDescent="0.25">
      <c r="A1089" s="8">
        <v>6776273</v>
      </c>
      <c r="B1089" s="9" t="s">
        <v>1321</v>
      </c>
      <c r="C1089" s="8" t="s">
        <v>31</v>
      </c>
    </row>
    <row r="1090" spans="1:3" x14ac:dyDescent="0.25">
      <c r="A1090" s="8">
        <v>6776274</v>
      </c>
      <c r="B1090" s="9" t="s">
        <v>1322</v>
      </c>
      <c r="C1090" s="8" t="s">
        <v>31</v>
      </c>
    </row>
    <row r="1091" spans="1:3" x14ac:dyDescent="0.25">
      <c r="A1091" s="8">
        <v>6776275</v>
      </c>
      <c r="B1091" s="9" t="s">
        <v>1323</v>
      </c>
      <c r="C1091" s="8" t="s">
        <v>31</v>
      </c>
    </row>
    <row r="1092" spans="1:3" x14ac:dyDescent="0.25">
      <c r="A1092" s="8">
        <v>6776276</v>
      </c>
      <c r="B1092" s="9" t="s">
        <v>1324</v>
      </c>
      <c r="C1092" s="8" t="s">
        <v>31</v>
      </c>
    </row>
    <row r="1093" spans="1:3" x14ac:dyDescent="0.25">
      <c r="A1093" s="8">
        <v>6776280</v>
      </c>
      <c r="B1093" s="9" t="s">
        <v>1325</v>
      </c>
      <c r="C1093" s="8" t="s">
        <v>26</v>
      </c>
    </row>
    <row r="1094" spans="1:3" x14ac:dyDescent="0.25">
      <c r="A1094" s="8">
        <v>6776282</v>
      </c>
      <c r="B1094" s="9" t="s">
        <v>1326</v>
      </c>
      <c r="C1094" s="8" t="s">
        <v>26</v>
      </c>
    </row>
    <row r="1095" spans="1:3" x14ac:dyDescent="0.25">
      <c r="A1095" s="8">
        <v>6776285</v>
      </c>
      <c r="B1095" s="9" t="s">
        <v>1327</v>
      </c>
      <c r="C1095" s="8" t="s">
        <v>27</v>
      </c>
    </row>
    <row r="1096" spans="1:3" x14ac:dyDescent="0.25">
      <c r="A1096" s="8">
        <v>6776286</v>
      </c>
      <c r="B1096" s="9" t="s">
        <v>1328</v>
      </c>
      <c r="C1096" s="8" t="s">
        <v>26</v>
      </c>
    </row>
    <row r="1097" spans="1:3" x14ac:dyDescent="0.25">
      <c r="A1097" s="8">
        <v>6776287</v>
      </c>
      <c r="B1097" s="9" t="s">
        <v>1329</v>
      </c>
      <c r="C1097" s="8" t="s">
        <v>27</v>
      </c>
    </row>
    <row r="1098" spans="1:3" x14ac:dyDescent="0.25">
      <c r="A1098" s="8">
        <v>6776288</v>
      </c>
      <c r="B1098" s="9" t="s">
        <v>1330</v>
      </c>
      <c r="C1098" s="8" t="s">
        <v>27</v>
      </c>
    </row>
    <row r="1099" spans="1:3" x14ac:dyDescent="0.25">
      <c r="A1099" s="8">
        <v>6776290</v>
      </c>
      <c r="B1099" s="9" t="s">
        <v>1331</v>
      </c>
      <c r="C1099" s="8" t="s">
        <v>27</v>
      </c>
    </row>
    <row r="1100" spans="1:3" x14ac:dyDescent="0.25">
      <c r="A1100" s="8">
        <v>6776291</v>
      </c>
      <c r="B1100" s="9" t="s">
        <v>1332</v>
      </c>
      <c r="C1100" s="8" t="s">
        <v>27</v>
      </c>
    </row>
    <row r="1101" spans="1:3" x14ac:dyDescent="0.25">
      <c r="A1101" s="8">
        <v>6776293</v>
      </c>
      <c r="B1101" s="9" t="s">
        <v>1333</v>
      </c>
      <c r="C1101" s="8" t="s">
        <v>26</v>
      </c>
    </row>
    <row r="1102" spans="1:3" x14ac:dyDescent="0.25">
      <c r="A1102" s="8">
        <v>6776296</v>
      </c>
      <c r="B1102" s="9" t="s">
        <v>1334</v>
      </c>
      <c r="C1102" s="8" t="s">
        <v>26</v>
      </c>
    </row>
    <row r="1103" spans="1:3" x14ac:dyDescent="0.25">
      <c r="A1103" s="8">
        <v>6776297</v>
      </c>
      <c r="B1103" s="9" t="s">
        <v>1335</v>
      </c>
      <c r="C1103" s="8" t="s">
        <v>26</v>
      </c>
    </row>
    <row r="1104" spans="1:3" x14ac:dyDescent="0.25">
      <c r="A1104" s="8">
        <v>6776299</v>
      </c>
      <c r="B1104" s="9" t="s">
        <v>1336</v>
      </c>
      <c r="C1104" s="8" t="s">
        <v>27</v>
      </c>
    </row>
    <row r="1105" spans="1:3" x14ac:dyDescent="0.25">
      <c r="A1105" s="8">
        <v>6776300</v>
      </c>
      <c r="B1105" s="9" t="s">
        <v>1337</v>
      </c>
      <c r="C1105" s="8" t="s">
        <v>26</v>
      </c>
    </row>
    <row r="1106" spans="1:3" x14ac:dyDescent="0.25">
      <c r="A1106" s="8">
        <v>6776303</v>
      </c>
      <c r="B1106" s="9" t="s">
        <v>1338</v>
      </c>
      <c r="C1106" s="8" t="s">
        <v>27</v>
      </c>
    </row>
    <row r="1107" spans="1:3" x14ac:dyDescent="0.25">
      <c r="A1107" s="8">
        <v>6776305</v>
      </c>
      <c r="B1107" s="9" t="s">
        <v>1339</v>
      </c>
      <c r="C1107" s="8" t="s">
        <v>27</v>
      </c>
    </row>
    <row r="1108" spans="1:3" x14ac:dyDescent="0.25">
      <c r="A1108" s="8">
        <v>6776306</v>
      </c>
      <c r="B1108" s="9" t="s">
        <v>1340</v>
      </c>
      <c r="C1108" s="8" t="s">
        <v>27</v>
      </c>
    </row>
    <row r="1109" spans="1:3" x14ac:dyDescent="0.25">
      <c r="A1109" s="8">
        <v>6776309</v>
      </c>
      <c r="B1109" s="9" t="s">
        <v>1341</v>
      </c>
      <c r="C1109" s="8" t="s">
        <v>26</v>
      </c>
    </row>
    <row r="1110" spans="1:3" x14ac:dyDescent="0.25">
      <c r="A1110" s="8">
        <v>6776310</v>
      </c>
      <c r="B1110" s="9" t="s">
        <v>1342</v>
      </c>
      <c r="C1110" s="8" t="s">
        <v>26</v>
      </c>
    </row>
    <row r="1111" spans="1:3" x14ac:dyDescent="0.25">
      <c r="A1111" s="8">
        <v>6776311</v>
      </c>
      <c r="B1111" s="9" t="s">
        <v>1343</v>
      </c>
      <c r="C1111" s="8" t="s">
        <v>26</v>
      </c>
    </row>
    <row r="1112" spans="1:3" x14ac:dyDescent="0.25">
      <c r="A1112" s="8">
        <v>6776313</v>
      </c>
      <c r="B1112" s="9" t="s">
        <v>1344</v>
      </c>
      <c r="C1112" s="8" t="s">
        <v>26</v>
      </c>
    </row>
    <row r="1113" spans="1:3" x14ac:dyDescent="0.25">
      <c r="A1113" s="8">
        <v>6776314</v>
      </c>
      <c r="B1113" s="9" t="s">
        <v>1345</v>
      </c>
      <c r="C1113" s="8" t="s">
        <v>26</v>
      </c>
    </row>
    <row r="1114" spans="1:3" x14ac:dyDescent="0.25">
      <c r="A1114" s="8">
        <v>6776316</v>
      </c>
      <c r="B1114" s="9" t="s">
        <v>1346</v>
      </c>
      <c r="C1114" s="8" t="s">
        <v>26</v>
      </c>
    </row>
    <row r="1115" spans="1:3" x14ac:dyDescent="0.25">
      <c r="A1115" s="8">
        <v>6776317</v>
      </c>
      <c r="B1115" s="9" t="s">
        <v>1347</v>
      </c>
      <c r="C1115" s="8" t="s">
        <v>26</v>
      </c>
    </row>
    <row r="1116" spans="1:3" x14ac:dyDescent="0.25">
      <c r="A1116" s="8">
        <v>6776318</v>
      </c>
      <c r="B1116" s="9" t="s">
        <v>1347</v>
      </c>
      <c r="C1116" s="8" t="s">
        <v>26</v>
      </c>
    </row>
    <row r="1117" spans="1:3" x14ac:dyDescent="0.25">
      <c r="A1117" s="8">
        <v>6776320</v>
      </c>
      <c r="B1117" s="9" t="s">
        <v>1348</v>
      </c>
      <c r="C1117" s="8" t="s">
        <v>26</v>
      </c>
    </row>
    <row r="1118" spans="1:3" x14ac:dyDescent="0.25">
      <c r="A1118" s="8">
        <v>6776321</v>
      </c>
      <c r="B1118" s="9" t="s">
        <v>1348</v>
      </c>
      <c r="C1118" s="8" t="s">
        <v>26</v>
      </c>
    </row>
    <row r="1119" spans="1:3" x14ac:dyDescent="0.25">
      <c r="A1119" s="8">
        <v>6776322</v>
      </c>
      <c r="B1119" s="9" t="s">
        <v>1349</v>
      </c>
      <c r="C1119" s="8" t="s">
        <v>26</v>
      </c>
    </row>
    <row r="1120" spans="1:3" x14ac:dyDescent="0.25">
      <c r="A1120" s="8">
        <v>6776323</v>
      </c>
      <c r="B1120" s="9" t="s">
        <v>1349</v>
      </c>
      <c r="C1120" s="8" t="s">
        <v>26</v>
      </c>
    </row>
    <row r="1121" spans="1:3" x14ac:dyDescent="0.25">
      <c r="A1121" s="8">
        <v>6776325</v>
      </c>
      <c r="B1121" s="9" t="s">
        <v>1350</v>
      </c>
      <c r="C1121" s="8" t="s">
        <v>26</v>
      </c>
    </row>
    <row r="1122" spans="1:3" x14ac:dyDescent="0.25">
      <c r="A1122" s="8">
        <v>6776326</v>
      </c>
      <c r="B1122" s="9" t="s">
        <v>1350</v>
      </c>
      <c r="C1122" s="8" t="s">
        <v>26</v>
      </c>
    </row>
    <row r="1123" spans="1:3" x14ac:dyDescent="0.25">
      <c r="A1123" s="8">
        <v>6776331</v>
      </c>
      <c r="B1123" s="9" t="s">
        <v>1350</v>
      </c>
      <c r="C1123" s="8" t="s">
        <v>26</v>
      </c>
    </row>
    <row r="1124" spans="1:3" x14ac:dyDescent="0.25">
      <c r="A1124" s="8">
        <v>6776332</v>
      </c>
      <c r="B1124" s="9" t="s">
        <v>1350</v>
      </c>
      <c r="C1124" s="8" t="s">
        <v>26</v>
      </c>
    </row>
    <row r="1125" spans="1:3" x14ac:dyDescent="0.25">
      <c r="A1125" s="8">
        <v>6776334</v>
      </c>
      <c r="B1125" s="9" t="s">
        <v>1351</v>
      </c>
      <c r="C1125" s="8" t="s">
        <v>26</v>
      </c>
    </row>
    <row r="1126" spans="1:3" x14ac:dyDescent="0.25">
      <c r="A1126" s="8">
        <v>6776335</v>
      </c>
      <c r="B1126" s="9" t="s">
        <v>1351</v>
      </c>
      <c r="C1126" s="8" t="s">
        <v>26</v>
      </c>
    </row>
    <row r="1127" spans="1:3" x14ac:dyDescent="0.25">
      <c r="A1127" s="8">
        <v>6776336</v>
      </c>
      <c r="B1127" s="9" t="s">
        <v>1351</v>
      </c>
      <c r="C1127" s="8" t="s">
        <v>26</v>
      </c>
    </row>
    <row r="1128" spans="1:3" x14ac:dyDescent="0.25">
      <c r="A1128" s="8">
        <v>6776337</v>
      </c>
      <c r="B1128" s="9" t="s">
        <v>1351</v>
      </c>
      <c r="C1128" s="8" t="s">
        <v>26</v>
      </c>
    </row>
    <row r="1129" spans="1:3" x14ac:dyDescent="0.25">
      <c r="A1129" s="8">
        <v>6776338</v>
      </c>
      <c r="B1129" s="9" t="s">
        <v>1351</v>
      </c>
      <c r="C1129" s="8" t="s">
        <v>26</v>
      </c>
    </row>
    <row r="1130" spans="1:3" x14ac:dyDescent="0.25">
      <c r="A1130" s="8">
        <v>6776341</v>
      </c>
      <c r="B1130" s="9" t="s">
        <v>1009</v>
      </c>
      <c r="C1130" s="8" t="s">
        <v>26</v>
      </c>
    </row>
    <row r="1131" spans="1:3" x14ac:dyDescent="0.25">
      <c r="A1131" s="8">
        <v>6776345</v>
      </c>
      <c r="B1131" s="9" t="s">
        <v>1352</v>
      </c>
      <c r="C1131" s="8" t="s">
        <v>27</v>
      </c>
    </row>
    <row r="1132" spans="1:3" x14ac:dyDescent="0.25">
      <c r="A1132" s="8">
        <v>6776411</v>
      </c>
      <c r="B1132" s="9" t="s">
        <v>69</v>
      </c>
      <c r="C1132" s="8" t="s">
        <v>26</v>
      </c>
    </row>
    <row r="1133" spans="1:3" x14ac:dyDescent="0.25">
      <c r="A1133" s="8">
        <v>6776412</v>
      </c>
      <c r="B1133" s="9" t="s">
        <v>1353</v>
      </c>
      <c r="C1133" s="8" t="s">
        <v>27</v>
      </c>
    </row>
    <row r="1134" spans="1:3" x14ac:dyDescent="0.25">
      <c r="A1134" s="8">
        <v>6776421</v>
      </c>
      <c r="B1134" s="9" t="s">
        <v>1354</v>
      </c>
      <c r="C1134" s="8" t="s">
        <v>27</v>
      </c>
    </row>
    <row r="1135" spans="1:3" x14ac:dyDescent="0.25">
      <c r="A1135" s="8">
        <v>6776448</v>
      </c>
      <c r="B1135" s="9" t="s">
        <v>1296</v>
      </c>
      <c r="C1135" s="8" t="s">
        <v>26</v>
      </c>
    </row>
    <row r="1136" spans="1:3" x14ac:dyDescent="0.25">
      <c r="A1136" s="8">
        <v>6776449</v>
      </c>
      <c r="B1136" s="9" t="s">
        <v>1355</v>
      </c>
      <c r="C1136" s="8" t="s">
        <v>26</v>
      </c>
    </row>
    <row r="1137" spans="1:3" x14ac:dyDescent="0.25">
      <c r="A1137" s="8">
        <v>6776450</v>
      </c>
      <c r="B1137" s="9" t="s">
        <v>1356</v>
      </c>
      <c r="C1137" s="8" t="s">
        <v>26</v>
      </c>
    </row>
    <row r="1138" spans="1:3" x14ac:dyDescent="0.25">
      <c r="A1138" s="8">
        <v>6776451</v>
      </c>
      <c r="B1138" s="9" t="s">
        <v>1292</v>
      </c>
      <c r="C1138" s="8" t="s">
        <v>26</v>
      </c>
    </row>
    <row r="1139" spans="1:3" x14ac:dyDescent="0.25">
      <c r="A1139" s="8">
        <v>6776458</v>
      </c>
      <c r="B1139" s="9" t="s">
        <v>1357</v>
      </c>
      <c r="C1139" s="8" t="s">
        <v>26</v>
      </c>
    </row>
    <row r="1140" spans="1:3" x14ac:dyDescent="0.25">
      <c r="A1140" s="8">
        <v>6776459</v>
      </c>
      <c r="B1140" s="9" t="s">
        <v>1358</v>
      </c>
      <c r="C1140" s="8" t="s">
        <v>26</v>
      </c>
    </row>
    <row r="1141" spans="1:3" x14ac:dyDescent="0.25">
      <c r="A1141" s="8">
        <v>6776470</v>
      </c>
      <c r="B1141" s="9" t="s">
        <v>1359</v>
      </c>
      <c r="C1141" s="8" t="s">
        <v>26</v>
      </c>
    </row>
    <row r="1142" spans="1:3" x14ac:dyDescent="0.25">
      <c r="A1142" s="8">
        <v>6776476</v>
      </c>
      <c r="B1142" s="9" t="s">
        <v>1360</v>
      </c>
      <c r="C1142" s="8" t="s">
        <v>26</v>
      </c>
    </row>
    <row r="1143" spans="1:3" x14ac:dyDescent="0.25">
      <c r="A1143" s="8">
        <v>6776480</v>
      </c>
      <c r="B1143" s="9" t="s">
        <v>1361</v>
      </c>
      <c r="C1143" s="8" t="s">
        <v>26</v>
      </c>
    </row>
    <row r="1144" spans="1:3" x14ac:dyDescent="0.25">
      <c r="A1144" s="8">
        <v>6776481</v>
      </c>
      <c r="B1144" s="9" t="s">
        <v>1362</v>
      </c>
      <c r="C1144" s="8" t="s">
        <v>26</v>
      </c>
    </row>
    <row r="1145" spans="1:3" x14ac:dyDescent="0.25">
      <c r="A1145" s="8">
        <v>6776487</v>
      </c>
      <c r="B1145" s="9" t="s">
        <v>1304</v>
      </c>
      <c r="C1145" s="8" t="s">
        <v>26</v>
      </c>
    </row>
    <row r="1146" spans="1:3" x14ac:dyDescent="0.25">
      <c r="A1146" s="8">
        <v>6776488</v>
      </c>
      <c r="B1146" s="9" t="s">
        <v>1363</v>
      </c>
      <c r="C1146" s="8" t="s">
        <v>26</v>
      </c>
    </row>
    <row r="1147" spans="1:3" x14ac:dyDescent="0.25">
      <c r="A1147" s="8">
        <v>6776491</v>
      </c>
      <c r="B1147" s="9" t="s">
        <v>1009</v>
      </c>
      <c r="C1147" s="8" t="s">
        <v>26</v>
      </c>
    </row>
    <row r="1148" spans="1:3" x14ac:dyDescent="0.25">
      <c r="A1148" s="8">
        <v>6776492</v>
      </c>
      <c r="B1148" s="9" t="s">
        <v>1364</v>
      </c>
      <c r="C1148" s="8" t="s">
        <v>26</v>
      </c>
    </row>
    <row r="1149" spans="1:3" x14ac:dyDescent="0.25">
      <c r="A1149" s="8">
        <v>6776496</v>
      </c>
      <c r="B1149" s="9" t="s">
        <v>1365</v>
      </c>
      <c r="C1149" s="8" t="s">
        <v>26</v>
      </c>
    </row>
    <row r="1150" spans="1:3" x14ac:dyDescent="0.25">
      <c r="A1150" s="8">
        <v>6776497</v>
      </c>
      <c r="B1150" s="9" t="s">
        <v>1351</v>
      </c>
      <c r="C1150" s="8" t="s">
        <v>26</v>
      </c>
    </row>
    <row r="1151" spans="1:3" x14ac:dyDescent="0.25">
      <c r="A1151" s="8">
        <v>6776498</v>
      </c>
      <c r="B1151" s="9" t="s">
        <v>1351</v>
      </c>
      <c r="C1151" s="8" t="s">
        <v>26</v>
      </c>
    </row>
    <row r="1152" spans="1:3" x14ac:dyDescent="0.25">
      <c r="A1152" s="8">
        <v>6776499</v>
      </c>
      <c r="B1152" s="9" t="s">
        <v>1351</v>
      </c>
      <c r="C1152" s="8" t="s">
        <v>26</v>
      </c>
    </row>
    <row r="1153" spans="1:3" x14ac:dyDescent="0.25">
      <c r="A1153" s="8">
        <v>6776516</v>
      </c>
      <c r="B1153" s="9" t="s">
        <v>1366</v>
      </c>
      <c r="C1153" s="8" t="s">
        <v>26</v>
      </c>
    </row>
    <row r="1154" spans="1:3" x14ac:dyDescent="0.25">
      <c r="A1154" s="8">
        <v>6776518</v>
      </c>
      <c r="B1154" s="9" t="s">
        <v>1367</v>
      </c>
      <c r="C1154" s="8" t="s">
        <v>26</v>
      </c>
    </row>
    <row r="1155" spans="1:3" x14ac:dyDescent="0.25">
      <c r="A1155" s="8">
        <v>6776540</v>
      </c>
      <c r="B1155" s="9" t="s">
        <v>1368</v>
      </c>
      <c r="C1155" s="8" t="s">
        <v>27</v>
      </c>
    </row>
    <row r="1156" spans="1:3" x14ac:dyDescent="0.25">
      <c r="A1156" s="8">
        <v>6776543</v>
      </c>
      <c r="B1156" s="9" t="s">
        <v>1369</v>
      </c>
      <c r="C1156" s="8" t="s">
        <v>27</v>
      </c>
    </row>
    <row r="1157" spans="1:3" x14ac:dyDescent="0.25">
      <c r="A1157" s="8">
        <v>6776546</v>
      </c>
      <c r="B1157" s="9" t="s">
        <v>1370</v>
      </c>
      <c r="C1157" s="8" t="s">
        <v>27</v>
      </c>
    </row>
    <row r="1158" spans="1:3" x14ac:dyDescent="0.25">
      <c r="A1158" s="8">
        <v>6776547</v>
      </c>
      <c r="B1158" s="9" t="s">
        <v>1371</v>
      </c>
      <c r="C1158" s="8" t="s">
        <v>27</v>
      </c>
    </row>
    <row r="1159" spans="1:3" x14ac:dyDescent="0.25">
      <c r="A1159" s="8">
        <v>6776548</v>
      </c>
      <c r="B1159" s="9" t="s">
        <v>1372</v>
      </c>
      <c r="C1159" s="8" t="s">
        <v>27</v>
      </c>
    </row>
    <row r="1160" spans="1:3" x14ac:dyDescent="0.25">
      <c r="A1160" s="8">
        <v>6776549</v>
      </c>
      <c r="B1160" s="9" t="s">
        <v>1373</v>
      </c>
      <c r="C1160" s="8" t="s">
        <v>26</v>
      </c>
    </row>
    <row r="1161" spans="1:3" x14ac:dyDescent="0.25">
      <c r="A1161" s="8">
        <v>6776591</v>
      </c>
      <c r="B1161" s="9" t="s">
        <v>1374</v>
      </c>
      <c r="C1161" s="8" t="s">
        <v>26</v>
      </c>
    </row>
    <row r="1162" spans="1:3" x14ac:dyDescent="0.25">
      <c r="A1162" s="8">
        <v>6776592</v>
      </c>
      <c r="B1162" s="9" t="s">
        <v>1375</v>
      </c>
      <c r="C1162" s="8" t="s">
        <v>26</v>
      </c>
    </row>
    <row r="1163" spans="1:3" x14ac:dyDescent="0.25">
      <c r="A1163" s="8">
        <v>6776593</v>
      </c>
      <c r="B1163" s="9" t="s">
        <v>1376</v>
      </c>
      <c r="C1163" s="8" t="s">
        <v>26</v>
      </c>
    </row>
    <row r="1164" spans="1:3" x14ac:dyDescent="0.25">
      <c r="A1164" s="8">
        <v>6776594</v>
      </c>
      <c r="B1164" s="9" t="s">
        <v>1377</v>
      </c>
      <c r="C1164" s="8" t="s">
        <v>26</v>
      </c>
    </row>
    <row r="1165" spans="1:3" x14ac:dyDescent="0.25">
      <c r="A1165" s="8">
        <v>6776595</v>
      </c>
      <c r="B1165" s="9" t="s">
        <v>1378</v>
      </c>
      <c r="C1165" s="8" t="s">
        <v>26</v>
      </c>
    </row>
    <row r="1166" spans="1:3" x14ac:dyDescent="0.25">
      <c r="A1166" s="8">
        <v>6776596</v>
      </c>
      <c r="B1166" s="9" t="s">
        <v>1379</v>
      </c>
      <c r="C1166" s="8" t="s">
        <v>26</v>
      </c>
    </row>
    <row r="1167" spans="1:3" x14ac:dyDescent="0.25">
      <c r="A1167" s="8">
        <v>6776597</v>
      </c>
      <c r="B1167" s="9" t="s">
        <v>1380</v>
      </c>
      <c r="C1167" s="8" t="s">
        <v>26</v>
      </c>
    </row>
    <row r="1168" spans="1:3" x14ac:dyDescent="0.25">
      <c r="A1168" s="8">
        <v>6776598</v>
      </c>
      <c r="B1168" s="9" t="s">
        <v>1381</v>
      </c>
      <c r="C1168" s="8" t="s">
        <v>26</v>
      </c>
    </row>
    <row r="1169" spans="1:3" x14ac:dyDescent="0.25">
      <c r="A1169" s="8">
        <v>6776599</v>
      </c>
      <c r="B1169" s="9" t="s">
        <v>1382</v>
      </c>
      <c r="C1169" s="8" t="s">
        <v>26</v>
      </c>
    </row>
    <row r="1170" spans="1:3" x14ac:dyDescent="0.25">
      <c r="A1170" s="8">
        <v>6776600</v>
      </c>
      <c r="B1170" s="9" t="s">
        <v>1383</v>
      </c>
      <c r="C1170" s="8" t="s">
        <v>26</v>
      </c>
    </row>
    <row r="1171" spans="1:3" x14ac:dyDescent="0.25">
      <c r="A1171" s="8">
        <v>6776601</v>
      </c>
      <c r="B1171" s="9" t="s">
        <v>1384</v>
      </c>
      <c r="C1171" s="8" t="s">
        <v>26</v>
      </c>
    </row>
    <row r="1172" spans="1:3" x14ac:dyDescent="0.25">
      <c r="A1172" s="8">
        <v>6776602</v>
      </c>
      <c r="B1172" s="9" t="s">
        <v>1385</v>
      </c>
      <c r="C1172" s="8" t="s">
        <v>26</v>
      </c>
    </row>
    <row r="1173" spans="1:3" x14ac:dyDescent="0.25">
      <c r="A1173" s="8">
        <v>6776603</v>
      </c>
      <c r="B1173" s="9" t="s">
        <v>1386</v>
      </c>
      <c r="C1173" s="8" t="s">
        <v>26</v>
      </c>
    </row>
    <row r="1174" spans="1:3" x14ac:dyDescent="0.25">
      <c r="A1174" s="8">
        <v>6776604</v>
      </c>
      <c r="B1174" s="9" t="s">
        <v>1387</v>
      </c>
      <c r="C1174" s="8" t="s">
        <v>26</v>
      </c>
    </row>
    <row r="1175" spans="1:3" x14ac:dyDescent="0.25">
      <c r="A1175" s="8">
        <v>6776605</v>
      </c>
      <c r="B1175" s="9" t="s">
        <v>1388</v>
      </c>
      <c r="C1175" s="8" t="s">
        <v>26</v>
      </c>
    </row>
    <row r="1176" spans="1:3" x14ac:dyDescent="0.25">
      <c r="A1176" s="8">
        <v>6776606</v>
      </c>
      <c r="B1176" s="9" t="s">
        <v>1389</v>
      </c>
      <c r="C1176" s="8" t="s">
        <v>26</v>
      </c>
    </row>
    <row r="1177" spans="1:3" x14ac:dyDescent="0.25">
      <c r="A1177" s="8">
        <v>6776607</v>
      </c>
      <c r="B1177" s="9" t="s">
        <v>1390</v>
      </c>
      <c r="C1177" s="8" t="s">
        <v>26</v>
      </c>
    </row>
    <row r="1178" spans="1:3" x14ac:dyDescent="0.25">
      <c r="A1178" s="8">
        <v>6776690</v>
      </c>
      <c r="B1178" s="9" t="s">
        <v>1391</v>
      </c>
      <c r="C1178" s="8" t="s">
        <v>26</v>
      </c>
    </row>
    <row r="1179" spans="1:3" x14ac:dyDescent="0.25">
      <c r="A1179" s="8">
        <v>6776691</v>
      </c>
      <c r="B1179" s="9" t="s">
        <v>1392</v>
      </c>
      <c r="C1179" s="8" t="s">
        <v>26</v>
      </c>
    </row>
    <row r="1180" spans="1:3" x14ac:dyDescent="0.25">
      <c r="A1180" s="8">
        <v>6776692</v>
      </c>
      <c r="B1180" s="9" t="s">
        <v>1393</v>
      </c>
      <c r="C1180" s="8" t="s">
        <v>27</v>
      </c>
    </row>
    <row r="1181" spans="1:3" x14ac:dyDescent="0.25">
      <c r="A1181" s="8">
        <v>6776693</v>
      </c>
      <c r="B1181" s="9" t="s">
        <v>1394</v>
      </c>
      <c r="C1181" s="8" t="s">
        <v>26</v>
      </c>
    </row>
    <row r="1182" spans="1:3" x14ac:dyDescent="0.25">
      <c r="A1182" s="8">
        <v>6776695</v>
      </c>
      <c r="B1182" s="9" t="s">
        <v>1395</v>
      </c>
      <c r="C1182" s="8" t="s">
        <v>26</v>
      </c>
    </row>
    <row r="1183" spans="1:3" x14ac:dyDescent="0.25">
      <c r="A1183" s="8">
        <v>6776774</v>
      </c>
      <c r="B1183" s="9" t="s">
        <v>1396</v>
      </c>
      <c r="C1183" s="8" t="s">
        <v>26</v>
      </c>
    </row>
    <row r="1184" spans="1:3" x14ac:dyDescent="0.25">
      <c r="A1184" s="8">
        <v>6776775</v>
      </c>
      <c r="B1184" s="9" t="s">
        <v>1397</v>
      </c>
      <c r="C1184" s="8" t="s">
        <v>27</v>
      </c>
    </row>
    <row r="1185" spans="1:3" x14ac:dyDescent="0.25">
      <c r="A1185" s="8">
        <v>6776880</v>
      </c>
      <c r="B1185" s="9" t="s">
        <v>1398</v>
      </c>
      <c r="C1185" s="8" t="s">
        <v>26</v>
      </c>
    </row>
    <row r="1186" spans="1:3" x14ac:dyDescent="0.25">
      <c r="A1186" s="8">
        <v>6776881</v>
      </c>
      <c r="B1186" s="9" t="s">
        <v>1399</v>
      </c>
      <c r="C1186" s="8" t="s">
        <v>26</v>
      </c>
    </row>
    <row r="1187" spans="1:3" x14ac:dyDescent="0.25">
      <c r="A1187" s="8">
        <v>6776882</v>
      </c>
      <c r="B1187" s="9" t="s">
        <v>316</v>
      </c>
      <c r="C1187" s="8" t="s">
        <v>26</v>
      </c>
    </row>
    <row r="1188" spans="1:3" x14ac:dyDescent="0.25">
      <c r="A1188" s="8">
        <v>6776884</v>
      </c>
      <c r="B1188" s="9" t="s">
        <v>1400</v>
      </c>
      <c r="C1188" s="8" t="s">
        <v>26</v>
      </c>
    </row>
    <row r="1189" spans="1:3" x14ac:dyDescent="0.25">
      <c r="A1189" s="8">
        <v>6776885</v>
      </c>
      <c r="B1189" s="9" t="s">
        <v>1401</v>
      </c>
      <c r="C1189" s="8" t="s">
        <v>26</v>
      </c>
    </row>
    <row r="1190" spans="1:3" x14ac:dyDescent="0.25">
      <c r="A1190" s="8">
        <v>6776886</v>
      </c>
      <c r="B1190" s="9" t="s">
        <v>1402</v>
      </c>
      <c r="C1190" s="8" t="s">
        <v>26</v>
      </c>
    </row>
    <row r="1191" spans="1:3" x14ac:dyDescent="0.25">
      <c r="A1191" s="8">
        <v>6776940</v>
      </c>
      <c r="B1191" s="9" t="s">
        <v>1403</v>
      </c>
      <c r="C1191" s="8" t="s">
        <v>26</v>
      </c>
    </row>
    <row r="1192" spans="1:3" x14ac:dyDescent="0.25">
      <c r="A1192" s="8">
        <v>6776962</v>
      </c>
      <c r="B1192" s="9" t="s">
        <v>1404</v>
      </c>
      <c r="C1192" s="8" t="s">
        <v>26</v>
      </c>
    </row>
    <row r="1193" spans="1:3" x14ac:dyDescent="0.25">
      <c r="A1193" s="8">
        <v>6776964</v>
      </c>
      <c r="B1193" s="9" t="s">
        <v>1405</v>
      </c>
      <c r="C1193" s="8" t="s">
        <v>26</v>
      </c>
    </row>
    <row r="1194" spans="1:3" x14ac:dyDescent="0.25">
      <c r="A1194" s="8">
        <v>6776965</v>
      </c>
      <c r="B1194" s="9" t="s">
        <v>1405</v>
      </c>
      <c r="C1194" s="8" t="s">
        <v>26</v>
      </c>
    </row>
    <row r="1195" spans="1:3" x14ac:dyDescent="0.25">
      <c r="A1195" s="8">
        <v>6776966</v>
      </c>
      <c r="B1195" s="9" t="s">
        <v>1405</v>
      </c>
      <c r="C1195" s="8" t="s">
        <v>26</v>
      </c>
    </row>
    <row r="1196" spans="1:3" x14ac:dyDescent="0.25">
      <c r="A1196" s="8">
        <v>6776967</v>
      </c>
      <c r="B1196" s="9" t="s">
        <v>1405</v>
      </c>
      <c r="C1196" s="8" t="s">
        <v>26</v>
      </c>
    </row>
    <row r="1197" spans="1:3" x14ac:dyDescent="0.25">
      <c r="A1197" s="8">
        <v>6776968</v>
      </c>
      <c r="B1197" s="9" t="s">
        <v>1406</v>
      </c>
      <c r="C1197" s="8" t="s">
        <v>27</v>
      </c>
    </row>
    <row r="1198" spans="1:3" x14ac:dyDescent="0.25">
      <c r="A1198" s="8">
        <v>6777011</v>
      </c>
      <c r="B1198" s="9" t="s">
        <v>1407</v>
      </c>
      <c r="C1198" s="8" t="s">
        <v>26</v>
      </c>
    </row>
    <row r="1199" spans="1:3" x14ac:dyDescent="0.25">
      <c r="A1199" s="8">
        <v>6777012</v>
      </c>
      <c r="B1199" s="9" t="s">
        <v>1408</v>
      </c>
      <c r="C1199" s="8" t="s">
        <v>26</v>
      </c>
    </row>
    <row r="1200" spans="1:3" x14ac:dyDescent="0.25">
      <c r="A1200" s="8">
        <v>6777013</v>
      </c>
      <c r="B1200" s="9" t="s">
        <v>1409</v>
      </c>
      <c r="C1200" s="8" t="s">
        <v>26</v>
      </c>
    </row>
    <row r="1201" spans="1:3" x14ac:dyDescent="0.25">
      <c r="A1201" s="8">
        <v>6777014</v>
      </c>
      <c r="B1201" s="9" t="s">
        <v>1410</v>
      </c>
      <c r="C1201" s="8" t="s">
        <v>26</v>
      </c>
    </row>
    <row r="1202" spans="1:3" x14ac:dyDescent="0.25">
      <c r="A1202" s="8">
        <v>6777015</v>
      </c>
      <c r="B1202" s="9" t="s">
        <v>1411</v>
      </c>
      <c r="C1202" s="8" t="s">
        <v>26</v>
      </c>
    </row>
    <row r="1203" spans="1:3" x14ac:dyDescent="0.25">
      <c r="A1203" s="8">
        <v>6777019</v>
      </c>
      <c r="B1203" s="9" t="s">
        <v>1412</v>
      </c>
      <c r="C1203" s="8" t="s">
        <v>26</v>
      </c>
    </row>
    <row r="1204" spans="1:3" x14ac:dyDescent="0.25">
      <c r="A1204" s="8">
        <v>6777080</v>
      </c>
      <c r="B1204" s="9" t="s">
        <v>1413</v>
      </c>
      <c r="C1204" s="8" t="s">
        <v>26</v>
      </c>
    </row>
    <row r="1205" spans="1:3" x14ac:dyDescent="0.25">
      <c r="A1205" s="8">
        <v>6777118</v>
      </c>
      <c r="B1205" s="9" t="s">
        <v>317</v>
      </c>
      <c r="C1205" s="8" t="s">
        <v>26</v>
      </c>
    </row>
    <row r="1206" spans="1:3" x14ac:dyDescent="0.25">
      <c r="A1206" s="8">
        <v>6777120</v>
      </c>
      <c r="B1206" s="9" t="s">
        <v>1414</v>
      </c>
      <c r="C1206" s="8" t="s">
        <v>26</v>
      </c>
    </row>
    <row r="1207" spans="1:3" x14ac:dyDescent="0.25">
      <c r="A1207" s="8">
        <v>6777220</v>
      </c>
      <c r="B1207" s="9" t="s">
        <v>1415</v>
      </c>
      <c r="C1207" s="8" t="s">
        <v>26</v>
      </c>
    </row>
    <row r="1208" spans="1:3" x14ac:dyDescent="0.25">
      <c r="A1208" s="8">
        <v>6777221</v>
      </c>
      <c r="B1208" s="9" t="s">
        <v>1416</v>
      </c>
      <c r="C1208" s="8" t="s">
        <v>27</v>
      </c>
    </row>
    <row r="1209" spans="1:3" x14ac:dyDescent="0.25">
      <c r="A1209" s="8">
        <v>6777222</v>
      </c>
      <c r="B1209" s="9" t="s">
        <v>1417</v>
      </c>
      <c r="C1209" s="8" t="s">
        <v>27</v>
      </c>
    </row>
    <row r="1210" spans="1:3" x14ac:dyDescent="0.25">
      <c r="A1210" s="8">
        <v>6777226</v>
      </c>
      <c r="B1210" s="9" t="s">
        <v>1418</v>
      </c>
      <c r="C1210" s="8" t="s">
        <v>26</v>
      </c>
    </row>
    <row r="1211" spans="1:3" x14ac:dyDescent="0.25">
      <c r="A1211" s="8">
        <v>6777764</v>
      </c>
      <c r="B1211" s="9" t="s">
        <v>1419</v>
      </c>
      <c r="C1211" s="8" t="s">
        <v>26</v>
      </c>
    </row>
    <row r="1212" spans="1:3" x14ac:dyDescent="0.25">
      <c r="A1212" s="8">
        <v>6777769</v>
      </c>
      <c r="B1212" s="9" t="s">
        <v>1420</v>
      </c>
      <c r="C1212" s="8" t="s">
        <v>26</v>
      </c>
    </row>
    <row r="1213" spans="1:3" x14ac:dyDescent="0.25">
      <c r="A1213" s="8">
        <v>6777770</v>
      </c>
      <c r="B1213" s="9" t="s">
        <v>1421</v>
      </c>
      <c r="C1213" s="8" t="s">
        <v>26</v>
      </c>
    </row>
    <row r="1214" spans="1:3" x14ac:dyDescent="0.25">
      <c r="A1214" s="8">
        <v>6777771</v>
      </c>
      <c r="B1214" s="9" t="s">
        <v>1422</v>
      </c>
      <c r="C1214" s="8" t="s">
        <v>26</v>
      </c>
    </row>
    <row r="1215" spans="1:3" x14ac:dyDescent="0.25">
      <c r="A1215" s="8">
        <v>6777842</v>
      </c>
      <c r="B1215" s="9" t="s">
        <v>1423</v>
      </c>
      <c r="C1215" s="8" t="s">
        <v>28</v>
      </c>
    </row>
    <row r="1216" spans="1:3" x14ac:dyDescent="0.25">
      <c r="A1216" s="8">
        <v>6777848</v>
      </c>
      <c r="B1216" s="9" t="s">
        <v>1424</v>
      </c>
      <c r="C1216" s="8" t="s">
        <v>27</v>
      </c>
    </row>
    <row r="1217" spans="1:3" x14ac:dyDescent="0.25">
      <c r="A1217" s="8">
        <v>6777849</v>
      </c>
      <c r="B1217" s="9" t="s">
        <v>1425</v>
      </c>
      <c r="C1217" s="8" t="s">
        <v>27</v>
      </c>
    </row>
    <row r="1218" spans="1:3" x14ac:dyDescent="0.25">
      <c r="A1218" s="8">
        <v>6778002</v>
      </c>
      <c r="B1218" s="9" t="s">
        <v>1426</v>
      </c>
      <c r="C1218" s="8" t="s">
        <v>26</v>
      </c>
    </row>
    <row r="1219" spans="1:3" x14ac:dyDescent="0.25">
      <c r="A1219" s="8">
        <v>6778004</v>
      </c>
      <c r="B1219" s="9" t="s">
        <v>1427</v>
      </c>
      <c r="C1219" s="8" t="s">
        <v>26</v>
      </c>
    </row>
    <row r="1220" spans="1:3" x14ac:dyDescent="0.25">
      <c r="A1220" s="8">
        <v>6778006</v>
      </c>
      <c r="B1220" s="9" t="s">
        <v>1428</v>
      </c>
      <c r="C1220" s="8" t="s">
        <v>26</v>
      </c>
    </row>
    <row r="1221" spans="1:3" x14ac:dyDescent="0.25">
      <c r="A1221" s="8">
        <v>6778007</v>
      </c>
      <c r="B1221" s="9" t="s">
        <v>1429</v>
      </c>
      <c r="C1221" s="8" t="s">
        <v>26</v>
      </c>
    </row>
    <row r="1222" spans="1:3" x14ac:dyDescent="0.25">
      <c r="A1222" s="8">
        <v>6778008</v>
      </c>
      <c r="B1222" s="9" t="s">
        <v>1430</v>
      </c>
      <c r="C1222" s="8" t="s">
        <v>26</v>
      </c>
    </row>
    <row r="1223" spans="1:3" x14ac:dyDescent="0.25">
      <c r="A1223" s="8">
        <v>6778009</v>
      </c>
      <c r="B1223" s="9" t="s">
        <v>1431</v>
      </c>
      <c r="C1223" s="8" t="s">
        <v>26</v>
      </c>
    </row>
    <row r="1224" spans="1:3" x14ac:dyDescent="0.25">
      <c r="A1224" s="8">
        <v>6778027</v>
      </c>
      <c r="B1224" s="9" t="s">
        <v>1432</v>
      </c>
      <c r="C1224" s="8" t="s">
        <v>26</v>
      </c>
    </row>
    <row r="1225" spans="1:3" x14ac:dyDescent="0.25">
      <c r="A1225" s="8">
        <v>6778028</v>
      </c>
      <c r="B1225" s="9" t="s">
        <v>1433</v>
      </c>
      <c r="C1225" s="8" t="s">
        <v>26</v>
      </c>
    </row>
    <row r="1226" spans="1:3" x14ac:dyDescent="0.25">
      <c r="A1226" s="8">
        <v>6778029</v>
      </c>
      <c r="B1226" s="9" t="s">
        <v>1434</v>
      </c>
      <c r="C1226" s="8" t="s">
        <v>26</v>
      </c>
    </row>
    <row r="1227" spans="1:3" x14ac:dyDescent="0.25">
      <c r="A1227" s="8">
        <v>6778030</v>
      </c>
      <c r="B1227" s="9" t="s">
        <v>1435</v>
      </c>
      <c r="C1227" s="8" t="s">
        <v>26</v>
      </c>
    </row>
    <row r="1228" spans="1:3" x14ac:dyDescent="0.25">
      <c r="A1228" s="8">
        <v>6778031</v>
      </c>
      <c r="B1228" s="9" t="s">
        <v>1436</v>
      </c>
      <c r="C1228" s="8" t="s">
        <v>26</v>
      </c>
    </row>
    <row r="1229" spans="1:3" x14ac:dyDescent="0.25">
      <c r="A1229" s="8">
        <v>6778033</v>
      </c>
      <c r="B1229" s="9" t="s">
        <v>1437</v>
      </c>
      <c r="C1229" s="8" t="s">
        <v>26</v>
      </c>
    </row>
    <row r="1230" spans="1:3" x14ac:dyDescent="0.25">
      <c r="A1230" s="8">
        <v>6778034</v>
      </c>
      <c r="B1230" s="9" t="s">
        <v>1438</v>
      </c>
      <c r="C1230" s="8" t="s">
        <v>27</v>
      </c>
    </row>
    <row r="1231" spans="1:3" x14ac:dyDescent="0.25">
      <c r="A1231" s="8">
        <v>6778037</v>
      </c>
      <c r="B1231" s="9" t="s">
        <v>1439</v>
      </c>
      <c r="C1231" s="8" t="s">
        <v>26</v>
      </c>
    </row>
    <row r="1232" spans="1:3" x14ac:dyDescent="0.25">
      <c r="A1232" s="8">
        <v>6778092</v>
      </c>
      <c r="B1232" s="9" t="s">
        <v>1440</v>
      </c>
      <c r="C1232" s="8" t="s">
        <v>26</v>
      </c>
    </row>
    <row r="1233" spans="1:3" x14ac:dyDescent="0.25">
      <c r="A1233" s="8">
        <v>6778094</v>
      </c>
      <c r="B1233" s="9" t="s">
        <v>1441</v>
      </c>
      <c r="C1233" s="8" t="s">
        <v>26</v>
      </c>
    </row>
    <row r="1234" spans="1:3" x14ac:dyDescent="0.25">
      <c r="A1234" s="8">
        <v>6778095</v>
      </c>
      <c r="B1234" s="9" t="s">
        <v>1442</v>
      </c>
      <c r="C1234" s="8" t="s">
        <v>26</v>
      </c>
    </row>
    <row r="1235" spans="1:3" x14ac:dyDescent="0.25">
      <c r="A1235" s="8">
        <v>6778097</v>
      </c>
      <c r="B1235" s="9" t="s">
        <v>1443</v>
      </c>
      <c r="C1235" s="8" t="s">
        <v>26</v>
      </c>
    </row>
    <row r="1236" spans="1:3" x14ac:dyDescent="0.25">
      <c r="A1236" s="8">
        <v>6778098</v>
      </c>
      <c r="B1236" s="9" t="s">
        <v>384</v>
      </c>
      <c r="C1236" s="8" t="s">
        <v>26</v>
      </c>
    </row>
    <row r="1237" spans="1:3" x14ac:dyDescent="0.25">
      <c r="A1237" s="8">
        <v>6778223</v>
      </c>
      <c r="B1237" s="9" t="s">
        <v>1444</v>
      </c>
      <c r="C1237" s="8" t="s">
        <v>26</v>
      </c>
    </row>
    <row r="1238" spans="1:3" x14ac:dyDescent="0.25">
      <c r="A1238" s="8">
        <v>6778224</v>
      </c>
      <c r="B1238" s="9" t="s">
        <v>1445</v>
      </c>
      <c r="C1238" s="8" t="s">
        <v>26</v>
      </c>
    </row>
    <row r="1239" spans="1:3" x14ac:dyDescent="0.25">
      <c r="A1239" s="8">
        <v>6778225</v>
      </c>
      <c r="B1239" s="9" t="s">
        <v>1446</v>
      </c>
      <c r="C1239" s="8" t="s">
        <v>26</v>
      </c>
    </row>
    <row r="1240" spans="1:3" x14ac:dyDescent="0.25">
      <c r="A1240" s="8">
        <v>6778226</v>
      </c>
      <c r="B1240" s="9" t="s">
        <v>1447</v>
      </c>
      <c r="C1240" s="8" t="s">
        <v>26</v>
      </c>
    </row>
    <row r="1241" spans="1:3" x14ac:dyDescent="0.25">
      <c r="A1241" s="8">
        <v>6778227</v>
      </c>
      <c r="B1241" s="9" t="s">
        <v>1448</v>
      </c>
      <c r="C1241" s="8" t="s">
        <v>26</v>
      </c>
    </row>
    <row r="1242" spans="1:3" x14ac:dyDescent="0.25">
      <c r="A1242" s="8">
        <v>6778228</v>
      </c>
      <c r="B1242" s="9" t="s">
        <v>1449</v>
      </c>
      <c r="C1242" s="8" t="s">
        <v>26</v>
      </c>
    </row>
    <row r="1243" spans="1:3" x14ac:dyDescent="0.25">
      <c r="A1243" s="8">
        <v>6778229</v>
      </c>
      <c r="B1243" s="9" t="s">
        <v>1450</v>
      </c>
      <c r="C1243" s="8" t="s">
        <v>26</v>
      </c>
    </row>
    <row r="1244" spans="1:3" x14ac:dyDescent="0.25">
      <c r="A1244" s="8">
        <v>6778290</v>
      </c>
      <c r="B1244" s="9" t="s">
        <v>1451</v>
      </c>
      <c r="C1244" s="8" t="s">
        <v>26</v>
      </c>
    </row>
    <row r="1245" spans="1:3" x14ac:dyDescent="0.25">
      <c r="A1245" s="8">
        <v>6778295</v>
      </c>
      <c r="B1245" s="9" t="s">
        <v>1452</v>
      </c>
      <c r="C1245" s="8" t="s">
        <v>26</v>
      </c>
    </row>
    <row r="1246" spans="1:3" x14ac:dyDescent="0.25">
      <c r="A1246" s="8">
        <v>6778296</v>
      </c>
      <c r="B1246" s="9" t="s">
        <v>1453</v>
      </c>
      <c r="C1246" s="8" t="s">
        <v>26</v>
      </c>
    </row>
    <row r="1247" spans="1:3" x14ac:dyDescent="0.25">
      <c r="A1247" s="8">
        <v>6778297</v>
      </c>
      <c r="B1247" s="9" t="s">
        <v>1454</v>
      </c>
      <c r="C1247" s="8" t="s">
        <v>26</v>
      </c>
    </row>
    <row r="1248" spans="1:3" x14ac:dyDescent="0.25">
      <c r="A1248" s="8">
        <v>6778571</v>
      </c>
      <c r="B1248" s="9" t="s">
        <v>1455</v>
      </c>
      <c r="C1248" s="8" t="s">
        <v>26</v>
      </c>
    </row>
    <row r="1249" spans="1:3" x14ac:dyDescent="0.25">
      <c r="A1249" s="8">
        <v>6778572</v>
      </c>
      <c r="B1249" s="9" t="s">
        <v>1456</v>
      </c>
      <c r="C1249" s="8" t="s">
        <v>26</v>
      </c>
    </row>
    <row r="1250" spans="1:3" x14ac:dyDescent="0.25">
      <c r="A1250" s="8">
        <v>6778573</v>
      </c>
      <c r="B1250" s="9" t="s">
        <v>1457</v>
      </c>
      <c r="C1250" s="8" t="s">
        <v>26</v>
      </c>
    </row>
    <row r="1251" spans="1:3" x14ac:dyDescent="0.25">
      <c r="A1251" s="8">
        <v>6778678</v>
      </c>
      <c r="B1251" s="9" t="s">
        <v>1458</v>
      </c>
      <c r="C1251" s="8" t="s">
        <v>26</v>
      </c>
    </row>
    <row r="1252" spans="1:3" x14ac:dyDescent="0.25">
      <c r="A1252" s="8">
        <v>6778928</v>
      </c>
      <c r="B1252" s="9" t="s">
        <v>1459</v>
      </c>
      <c r="C1252" s="8" t="s">
        <v>30</v>
      </c>
    </row>
    <row r="1253" spans="1:3" x14ac:dyDescent="0.25">
      <c r="A1253" s="8">
        <v>6778929</v>
      </c>
      <c r="B1253" s="9" t="s">
        <v>1460</v>
      </c>
      <c r="C1253" s="8" t="s">
        <v>26</v>
      </c>
    </row>
    <row r="1254" spans="1:3" x14ac:dyDescent="0.25">
      <c r="A1254" s="8">
        <v>6778942</v>
      </c>
      <c r="B1254" s="9" t="s">
        <v>70</v>
      </c>
      <c r="C1254" s="8" t="s">
        <v>26</v>
      </c>
    </row>
    <row r="1255" spans="1:3" x14ac:dyDescent="0.25">
      <c r="A1255" s="8">
        <v>6778944</v>
      </c>
      <c r="B1255" s="9" t="s">
        <v>1461</v>
      </c>
      <c r="C1255" s="8" t="s">
        <v>26</v>
      </c>
    </row>
    <row r="1256" spans="1:3" x14ac:dyDescent="0.25">
      <c r="A1256" s="8">
        <v>6779120</v>
      </c>
      <c r="B1256" s="9" t="s">
        <v>1462</v>
      </c>
      <c r="C1256" s="8" t="s">
        <v>31</v>
      </c>
    </row>
    <row r="1257" spans="1:3" x14ac:dyDescent="0.25">
      <c r="A1257" s="8">
        <v>6779124</v>
      </c>
      <c r="B1257" s="9" t="s">
        <v>1463</v>
      </c>
      <c r="C1257" s="8" t="s">
        <v>26</v>
      </c>
    </row>
    <row r="1258" spans="1:3" x14ac:dyDescent="0.25">
      <c r="A1258" s="8">
        <v>6779278</v>
      </c>
      <c r="B1258" s="9" t="s">
        <v>224</v>
      </c>
      <c r="C1258" s="8" t="s">
        <v>26</v>
      </c>
    </row>
    <row r="1259" spans="1:3" x14ac:dyDescent="0.25">
      <c r="A1259" s="8">
        <v>6779524</v>
      </c>
      <c r="B1259" s="9" t="s">
        <v>1464</v>
      </c>
      <c r="C1259" s="8" t="s">
        <v>28</v>
      </c>
    </row>
    <row r="1260" spans="1:3" x14ac:dyDescent="0.25">
      <c r="A1260" s="8">
        <v>6779582</v>
      </c>
      <c r="B1260" s="9" t="s">
        <v>1465</v>
      </c>
      <c r="C1260" s="8" t="s">
        <v>26</v>
      </c>
    </row>
    <row r="1261" spans="1:3" x14ac:dyDescent="0.25">
      <c r="A1261" s="8">
        <v>6779723</v>
      </c>
      <c r="B1261" s="9" t="s">
        <v>1466</v>
      </c>
      <c r="C1261" s="8" t="s">
        <v>26</v>
      </c>
    </row>
    <row r="1262" spans="1:3" x14ac:dyDescent="0.25">
      <c r="A1262" s="8">
        <v>6779848</v>
      </c>
      <c r="B1262" s="9" t="s">
        <v>1467</v>
      </c>
      <c r="C1262" s="8" t="s">
        <v>27</v>
      </c>
    </row>
    <row r="1263" spans="1:3" x14ac:dyDescent="0.25">
      <c r="A1263" s="8">
        <v>6779859</v>
      </c>
      <c r="B1263" s="9" t="s">
        <v>1468</v>
      </c>
      <c r="C1263" s="8" t="s">
        <v>27</v>
      </c>
    </row>
    <row r="1264" spans="1:3" x14ac:dyDescent="0.25">
      <c r="A1264" s="8">
        <v>6779943</v>
      </c>
      <c r="B1264" s="9" t="s">
        <v>1469</v>
      </c>
      <c r="C1264" s="8" t="s">
        <v>26</v>
      </c>
    </row>
    <row r="1265" spans="1:3" x14ac:dyDescent="0.25">
      <c r="A1265" s="8">
        <v>6779944</v>
      </c>
      <c r="B1265" s="9" t="s">
        <v>1470</v>
      </c>
      <c r="C1265" s="8" t="s">
        <v>26</v>
      </c>
    </row>
    <row r="1266" spans="1:3" x14ac:dyDescent="0.25">
      <c r="A1266" s="8">
        <v>6779945</v>
      </c>
      <c r="B1266" s="9" t="s">
        <v>1471</v>
      </c>
      <c r="C1266" s="8" t="s">
        <v>26</v>
      </c>
    </row>
    <row r="1267" spans="1:3" x14ac:dyDescent="0.25">
      <c r="A1267" s="8">
        <v>6779946</v>
      </c>
      <c r="B1267" s="9" t="s">
        <v>1472</v>
      </c>
      <c r="C1267" s="8" t="s">
        <v>26</v>
      </c>
    </row>
    <row r="1268" spans="1:3" x14ac:dyDescent="0.25">
      <c r="A1268" s="8">
        <v>6779948</v>
      </c>
      <c r="B1268" s="9" t="s">
        <v>1473</v>
      </c>
      <c r="C1268" s="8" t="s">
        <v>26</v>
      </c>
    </row>
    <row r="1269" spans="1:3" x14ac:dyDescent="0.25">
      <c r="A1269" s="8">
        <v>6779960</v>
      </c>
      <c r="B1269" s="9" t="s">
        <v>1474</v>
      </c>
      <c r="C1269" s="8" t="s">
        <v>26</v>
      </c>
    </row>
    <row r="1270" spans="1:3" x14ac:dyDescent="0.25">
      <c r="A1270" s="8">
        <v>6779961</v>
      </c>
      <c r="B1270" s="9" t="s">
        <v>1475</v>
      </c>
      <c r="C1270" s="8" t="s">
        <v>26</v>
      </c>
    </row>
    <row r="1271" spans="1:3" x14ac:dyDescent="0.25">
      <c r="A1271" s="8">
        <v>6779962</v>
      </c>
      <c r="B1271" s="9" t="s">
        <v>1476</v>
      </c>
      <c r="C1271" s="8" t="s">
        <v>26</v>
      </c>
    </row>
    <row r="1272" spans="1:3" x14ac:dyDescent="0.25">
      <c r="A1272" s="8">
        <v>6780190</v>
      </c>
      <c r="B1272" s="9" t="s">
        <v>1437</v>
      </c>
      <c r="C1272" s="8" t="s">
        <v>26</v>
      </c>
    </row>
    <row r="1273" spans="1:3" x14ac:dyDescent="0.25">
      <c r="A1273" s="8">
        <v>6780193</v>
      </c>
      <c r="B1273" s="9" t="s">
        <v>1477</v>
      </c>
      <c r="C1273" s="8" t="s">
        <v>28</v>
      </c>
    </row>
    <row r="1274" spans="1:3" x14ac:dyDescent="0.25">
      <c r="A1274" s="8">
        <v>6780367</v>
      </c>
      <c r="B1274" s="9" t="s">
        <v>71</v>
      </c>
      <c r="C1274" s="8" t="s">
        <v>26</v>
      </c>
    </row>
    <row r="1275" spans="1:3" x14ac:dyDescent="0.25">
      <c r="A1275" s="8">
        <v>6780369</v>
      </c>
      <c r="B1275" s="9" t="s">
        <v>1478</v>
      </c>
      <c r="C1275" s="8" t="s">
        <v>26</v>
      </c>
    </row>
    <row r="1276" spans="1:3" x14ac:dyDescent="0.25">
      <c r="A1276" s="8">
        <v>6780384</v>
      </c>
      <c r="B1276" s="9" t="s">
        <v>364</v>
      </c>
      <c r="C1276" s="8" t="s">
        <v>26</v>
      </c>
    </row>
    <row r="1277" spans="1:3" x14ac:dyDescent="0.25">
      <c r="A1277" s="8">
        <v>6780386</v>
      </c>
      <c r="B1277" s="9" t="s">
        <v>1479</v>
      </c>
      <c r="C1277" s="8" t="s">
        <v>26</v>
      </c>
    </row>
    <row r="1278" spans="1:3" x14ac:dyDescent="0.25">
      <c r="A1278" s="8">
        <v>6780387</v>
      </c>
      <c r="B1278" s="9" t="s">
        <v>1480</v>
      </c>
      <c r="C1278" s="8" t="s">
        <v>26</v>
      </c>
    </row>
    <row r="1279" spans="1:3" x14ac:dyDescent="0.25">
      <c r="A1279" s="8">
        <v>6780489</v>
      </c>
      <c r="B1279" s="9" t="s">
        <v>1481</v>
      </c>
      <c r="C1279" s="8" t="s">
        <v>26</v>
      </c>
    </row>
    <row r="1280" spans="1:3" x14ac:dyDescent="0.25">
      <c r="A1280" s="8">
        <v>6780520</v>
      </c>
      <c r="B1280" s="9" t="s">
        <v>72</v>
      </c>
      <c r="C1280" s="8" t="s">
        <v>26</v>
      </c>
    </row>
    <row r="1281" spans="1:3" x14ac:dyDescent="0.25">
      <c r="A1281" s="8">
        <v>6780521</v>
      </c>
      <c r="B1281" s="9" t="s">
        <v>1482</v>
      </c>
      <c r="C1281" s="8" t="s">
        <v>26</v>
      </c>
    </row>
    <row r="1282" spans="1:3" x14ac:dyDescent="0.25">
      <c r="A1282" s="8">
        <v>6780522</v>
      </c>
      <c r="B1282" s="9" t="s">
        <v>1483</v>
      </c>
      <c r="C1282" s="8" t="s">
        <v>27</v>
      </c>
    </row>
    <row r="1283" spans="1:3" x14ac:dyDescent="0.25">
      <c r="A1283" s="8">
        <v>6780523</v>
      </c>
      <c r="B1283" s="9" t="s">
        <v>1484</v>
      </c>
      <c r="C1283" s="8" t="s">
        <v>27</v>
      </c>
    </row>
    <row r="1284" spans="1:3" x14ac:dyDescent="0.25">
      <c r="A1284" s="8">
        <v>6780524</v>
      </c>
      <c r="B1284" s="9" t="s">
        <v>1485</v>
      </c>
      <c r="C1284" s="8" t="s">
        <v>26</v>
      </c>
    </row>
    <row r="1285" spans="1:3" x14ac:dyDescent="0.25">
      <c r="A1285" s="8">
        <v>6780525</v>
      </c>
      <c r="B1285" s="9" t="s">
        <v>1486</v>
      </c>
      <c r="C1285" s="8" t="s">
        <v>26</v>
      </c>
    </row>
    <row r="1286" spans="1:3" x14ac:dyDescent="0.25">
      <c r="A1286" s="8">
        <v>6780536</v>
      </c>
      <c r="B1286" s="9" t="s">
        <v>1487</v>
      </c>
      <c r="C1286" s="8" t="s">
        <v>26</v>
      </c>
    </row>
    <row r="1287" spans="1:3" x14ac:dyDescent="0.25">
      <c r="A1287" s="8">
        <v>6780577</v>
      </c>
      <c r="B1287" s="9" t="s">
        <v>1488</v>
      </c>
      <c r="C1287" s="8" t="s">
        <v>26</v>
      </c>
    </row>
    <row r="1288" spans="1:3" x14ac:dyDescent="0.25">
      <c r="A1288" s="8">
        <v>6780579</v>
      </c>
      <c r="B1288" s="9" t="s">
        <v>382</v>
      </c>
      <c r="C1288" s="8" t="s">
        <v>26</v>
      </c>
    </row>
    <row r="1289" spans="1:3" x14ac:dyDescent="0.25">
      <c r="A1289" s="8">
        <v>6780970</v>
      </c>
      <c r="B1289" s="9" t="s">
        <v>1489</v>
      </c>
      <c r="C1289" s="8" t="s">
        <v>26</v>
      </c>
    </row>
    <row r="1290" spans="1:3" x14ac:dyDescent="0.25">
      <c r="A1290" s="8">
        <v>6780971</v>
      </c>
      <c r="B1290" s="9" t="s">
        <v>1490</v>
      </c>
      <c r="C1290" s="8" t="s">
        <v>26</v>
      </c>
    </row>
    <row r="1291" spans="1:3" x14ac:dyDescent="0.25">
      <c r="A1291" s="8">
        <v>6780972</v>
      </c>
      <c r="B1291" s="9" t="s">
        <v>1491</v>
      </c>
      <c r="C1291" s="8" t="s">
        <v>26</v>
      </c>
    </row>
    <row r="1292" spans="1:3" x14ac:dyDescent="0.25">
      <c r="A1292" s="8">
        <v>6780974</v>
      </c>
      <c r="B1292" s="9" t="s">
        <v>1492</v>
      </c>
      <c r="C1292" s="8" t="s">
        <v>26</v>
      </c>
    </row>
    <row r="1293" spans="1:3" x14ac:dyDescent="0.25">
      <c r="A1293" s="8">
        <v>6780975</v>
      </c>
      <c r="B1293" s="9" t="s">
        <v>1493</v>
      </c>
      <c r="C1293" s="8" t="s">
        <v>26</v>
      </c>
    </row>
    <row r="1294" spans="1:3" x14ac:dyDescent="0.25">
      <c r="A1294" s="8">
        <v>6780976</v>
      </c>
      <c r="B1294" s="9" t="s">
        <v>1494</v>
      </c>
      <c r="C1294" s="8" t="s">
        <v>26</v>
      </c>
    </row>
    <row r="1295" spans="1:3" x14ac:dyDescent="0.25">
      <c r="A1295" s="8">
        <v>6780978</v>
      </c>
      <c r="B1295" s="9" t="s">
        <v>1495</v>
      </c>
      <c r="C1295" s="8" t="s">
        <v>26</v>
      </c>
    </row>
    <row r="1296" spans="1:3" x14ac:dyDescent="0.25">
      <c r="A1296" s="8">
        <v>6781050</v>
      </c>
      <c r="B1296" s="9" t="s">
        <v>1496</v>
      </c>
      <c r="C1296" s="8" t="s">
        <v>27</v>
      </c>
    </row>
    <row r="1297" spans="1:3" x14ac:dyDescent="0.25">
      <c r="A1297" s="8">
        <v>6781666</v>
      </c>
      <c r="B1297" s="9" t="s">
        <v>1497</v>
      </c>
      <c r="C1297" s="8" t="s">
        <v>26</v>
      </c>
    </row>
    <row r="1298" spans="1:3" x14ac:dyDescent="0.25">
      <c r="A1298" s="8">
        <v>6782006</v>
      </c>
      <c r="B1298" s="9" t="s">
        <v>1498</v>
      </c>
      <c r="C1298" s="8" t="s">
        <v>26</v>
      </c>
    </row>
    <row r="1299" spans="1:3" x14ac:dyDescent="0.25">
      <c r="A1299" s="8">
        <v>6782041</v>
      </c>
      <c r="B1299" s="9" t="s">
        <v>1499</v>
      </c>
      <c r="C1299" s="8" t="s">
        <v>26</v>
      </c>
    </row>
    <row r="1300" spans="1:3" x14ac:dyDescent="0.25">
      <c r="A1300" s="8">
        <v>6782254</v>
      </c>
      <c r="B1300" s="9" t="s">
        <v>1500</v>
      </c>
      <c r="C1300" s="8" t="s">
        <v>26</v>
      </c>
    </row>
    <row r="1301" spans="1:3" x14ac:dyDescent="0.25">
      <c r="A1301" s="8">
        <v>6782270</v>
      </c>
      <c r="B1301" s="9" t="s">
        <v>1501</v>
      </c>
      <c r="C1301" s="8" t="s">
        <v>26</v>
      </c>
    </row>
    <row r="1302" spans="1:3" x14ac:dyDescent="0.25">
      <c r="A1302" s="8">
        <v>6782403</v>
      </c>
      <c r="B1302" s="9" t="s">
        <v>1502</v>
      </c>
      <c r="C1302" s="8" t="s">
        <v>26</v>
      </c>
    </row>
    <row r="1303" spans="1:3" x14ac:dyDescent="0.25">
      <c r="A1303" s="8">
        <v>6782554</v>
      </c>
      <c r="B1303" s="9" t="s">
        <v>1503</v>
      </c>
      <c r="C1303" s="8" t="s">
        <v>27</v>
      </c>
    </row>
    <row r="1304" spans="1:3" x14ac:dyDescent="0.25">
      <c r="A1304" s="8">
        <v>6782565</v>
      </c>
      <c r="B1304" s="9" t="s">
        <v>1504</v>
      </c>
      <c r="C1304" s="8" t="s">
        <v>26</v>
      </c>
    </row>
    <row r="1305" spans="1:3" x14ac:dyDescent="0.25">
      <c r="A1305" s="8">
        <v>6782622</v>
      </c>
      <c r="B1305" s="9" t="s">
        <v>1505</v>
      </c>
      <c r="C1305" s="8" t="s">
        <v>27</v>
      </c>
    </row>
    <row r="1306" spans="1:3" x14ac:dyDescent="0.25">
      <c r="A1306" s="8">
        <v>6782623</v>
      </c>
      <c r="B1306" s="9" t="s">
        <v>1506</v>
      </c>
      <c r="C1306" s="8" t="s">
        <v>27</v>
      </c>
    </row>
    <row r="1307" spans="1:3" x14ac:dyDescent="0.25">
      <c r="A1307" s="8">
        <v>6782624</v>
      </c>
      <c r="B1307" s="9" t="s">
        <v>1507</v>
      </c>
      <c r="C1307" s="8" t="s">
        <v>26</v>
      </c>
    </row>
    <row r="1308" spans="1:3" x14ac:dyDescent="0.25">
      <c r="A1308" s="8">
        <v>6782651</v>
      </c>
      <c r="B1308" s="9" t="s">
        <v>1508</v>
      </c>
      <c r="C1308" s="8" t="s">
        <v>26</v>
      </c>
    </row>
    <row r="1309" spans="1:3" x14ac:dyDescent="0.25">
      <c r="A1309" s="8">
        <v>6783166</v>
      </c>
      <c r="B1309" s="9" t="s">
        <v>1509</v>
      </c>
      <c r="C1309" s="8" t="s">
        <v>27</v>
      </c>
    </row>
    <row r="1310" spans="1:3" x14ac:dyDescent="0.25">
      <c r="A1310" s="8">
        <v>6783167</v>
      </c>
      <c r="B1310" s="9" t="s">
        <v>1510</v>
      </c>
      <c r="C1310" s="8" t="s">
        <v>27</v>
      </c>
    </row>
    <row r="1311" spans="1:3" x14ac:dyDescent="0.25">
      <c r="A1311" s="8">
        <v>6783483</v>
      </c>
      <c r="B1311" s="9" t="s">
        <v>1511</v>
      </c>
      <c r="C1311" s="8" t="s">
        <v>26</v>
      </c>
    </row>
    <row r="1312" spans="1:3" x14ac:dyDescent="0.25">
      <c r="A1312" s="8">
        <v>6783629</v>
      </c>
      <c r="B1312" s="9" t="s">
        <v>1512</v>
      </c>
      <c r="C1312" s="8" t="s">
        <v>28</v>
      </c>
    </row>
    <row r="1313" spans="1:3" x14ac:dyDescent="0.25">
      <c r="A1313" s="8">
        <v>6783633</v>
      </c>
      <c r="B1313" s="9" t="s">
        <v>1513</v>
      </c>
      <c r="C1313" s="8" t="s">
        <v>28</v>
      </c>
    </row>
    <row r="1314" spans="1:3" x14ac:dyDescent="0.25">
      <c r="A1314" s="8">
        <v>6783635</v>
      </c>
      <c r="B1314" s="9" t="s">
        <v>1514</v>
      </c>
      <c r="C1314" s="8" t="s">
        <v>28</v>
      </c>
    </row>
    <row r="1315" spans="1:3" x14ac:dyDescent="0.25">
      <c r="A1315" s="8">
        <v>6783638</v>
      </c>
      <c r="B1315" s="9" t="s">
        <v>1515</v>
      </c>
      <c r="C1315" s="8" t="s">
        <v>28</v>
      </c>
    </row>
    <row r="1316" spans="1:3" x14ac:dyDescent="0.25">
      <c r="A1316" s="8">
        <v>6783639</v>
      </c>
      <c r="B1316" s="9" t="s">
        <v>1516</v>
      </c>
      <c r="C1316" s="8" t="s">
        <v>28</v>
      </c>
    </row>
    <row r="1317" spans="1:3" x14ac:dyDescent="0.25">
      <c r="A1317" s="8">
        <v>6783641</v>
      </c>
      <c r="B1317" s="9" t="s">
        <v>1517</v>
      </c>
      <c r="C1317" s="8" t="s">
        <v>26</v>
      </c>
    </row>
    <row r="1318" spans="1:3" x14ac:dyDescent="0.25">
      <c r="A1318" s="8">
        <v>6783642</v>
      </c>
      <c r="B1318" s="9" t="s">
        <v>1518</v>
      </c>
      <c r="C1318" s="8" t="s">
        <v>26</v>
      </c>
    </row>
    <row r="1319" spans="1:3" x14ac:dyDescent="0.25">
      <c r="A1319" s="8">
        <v>6783643</v>
      </c>
      <c r="B1319" s="9" t="s">
        <v>1519</v>
      </c>
      <c r="C1319" s="8" t="s">
        <v>26</v>
      </c>
    </row>
    <row r="1320" spans="1:3" x14ac:dyDescent="0.25">
      <c r="A1320" s="8">
        <v>6783650</v>
      </c>
      <c r="B1320" s="9" t="s">
        <v>1520</v>
      </c>
      <c r="C1320" s="8" t="s">
        <v>28</v>
      </c>
    </row>
    <row r="1321" spans="1:3" x14ac:dyDescent="0.25">
      <c r="A1321" s="8">
        <v>6783654</v>
      </c>
      <c r="B1321" s="9" t="s">
        <v>1521</v>
      </c>
      <c r="C1321" s="8" t="s">
        <v>28</v>
      </c>
    </row>
    <row r="1322" spans="1:3" x14ac:dyDescent="0.25">
      <c r="A1322" s="8">
        <v>6783655</v>
      </c>
      <c r="B1322" s="9" t="s">
        <v>1522</v>
      </c>
      <c r="C1322" s="8" t="s">
        <v>28</v>
      </c>
    </row>
    <row r="1323" spans="1:3" x14ac:dyDescent="0.25">
      <c r="A1323" s="8">
        <v>6783659</v>
      </c>
      <c r="B1323" s="9" t="s">
        <v>1523</v>
      </c>
      <c r="C1323" s="8" t="s">
        <v>28</v>
      </c>
    </row>
    <row r="1324" spans="1:3" x14ac:dyDescent="0.25">
      <c r="A1324" s="8">
        <v>6783660</v>
      </c>
      <c r="B1324" s="9" t="s">
        <v>1524</v>
      </c>
      <c r="C1324" s="8" t="s">
        <v>26</v>
      </c>
    </row>
    <row r="1325" spans="1:3" x14ac:dyDescent="0.25">
      <c r="A1325" s="8">
        <v>6783661</v>
      </c>
      <c r="B1325" s="9" t="s">
        <v>1525</v>
      </c>
      <c r="C1325" s="8" t="s">
        <v>28</v>
      </c>
    </row>
    <row r="1326" spans="1:3" x14ac:dyDescent="0.25">
      <c r="A1326" s="8">
        <v>6783662</v>
      </c>
      <c r="B1326" s="9" t="s">
        <v>1526</v>
      </c>
      <c r="C1326" s="8" t="s">
        <v>28</v>
      </c>
    </row>
    <row r="1327" spans="1:3" x14ac:dyDescent="0.25">
      <c r="A1327" s="8">
        <v>6783665</v>
      </c>
      <c r="B1327" s="9" t="s">
        <v>1527</v>
      </c>
      <c r="C1327" s="8" t="s">
        <v>28</v>
      </c>
    </row>
    <row r="1328" spans="1:3" x14ac:dyDescent="0.25">
      <c r="A1328" s="8">
        <v>6783666</v>
      </c>
      <c r="B1328" s="9" t="s">
        <v>1528</v>
      </c>
      <c r="C1328" s="8" t="s">
        <v>28</v>
      </c>
    </row>
    <row r="1329" spans="1:3" x14ac:dyDescent="0.25">
      <c r="A1329" s="8">
        <v>6783669</v>
      </c>
      <c r="B1329" s="9" t="s">
        <v>1529</v>
      </c>
      <c r="C1329" s="8" t="s">
        <v>28</v>
      </c>
    </row>
    <row r="1330" spans="1:3" x14ac:dyDescent="0.25">
      <c r="A1330" s="8">
        <v>6783670</v>
      </c>
      <c r="B1330" s="9" t="s">
        <v>1530</v>
      </c>
      <c r="C1330" s="8" t="s">
        <v>28</v>
      </c>
    </row>
    <row r="1331" spans="1:3" x14ac:dyDescent="0.25">
      <c r="A1331" s="8">
        <v>6783747</v>
      </c>
      <c r="B1331" s="9" t="s">
        <v>1531</v>
      </c>
      <c r="C1331" s="8" t="s">
        <v>26</v>
      </c>
    </row>
    <row r="1332" spans="1:3" x14ac:dyDescent="0.25">
      <c r="A1332" s="8">
        <v>6783748</v>
      </c>
      <c r="B1332" s="9" t="s">
        <v>1532</v>
      </c>
      <c r="C1332" s="8" t="s">
        <v>26</v>
      </c>
    </row>
    <row r="1333" spans="1:3" x14ac:dyDescent="0.25">
      <c r="A1333" s="8">
        <v>6783749</v>
      </c>
      <c r="B1333" s="9" t="s">
        <v>1533</v>
      </c>
      <c r="C1333" s="8" t="s">
        <v>26</v>
      </c>
    </row>
    <row r="1334" spans="1:3" x14ac:dyDescent="0.25">
      <c r="A1334" s="8">
        <v>6783750</v>
      </c>
      <c r="B1334" s="9" t="s">
        <v>1534</v>
      </c>
      <c r="C1334" s="8" t="s">
        <v>26</v>
      </c>
    </row>
    <row r="1335" spans="1:3" x14ac:dyDescent="0.25">
      <c r="A1335" s="8">
        <v>6783784</v>
      </c>
      <c r="B1335" s="9" t="s">
        <v>1535</v>
      </c>
      <c r="C1335" s="8" t="s">
        <v>26</v>
      </c>
    </row>
    <row r="1336" spans="1:3" x14ac:dyDescent="0.25">
      <c r="A1336" s="8">
        <v>6783793</v>
      </c>
      <c r="B1336" s="9" t="s">
        <v>1536</v>
      </c>
      <c r="C1336" s="8" t="s">
        <v>26</v>
      </c>
    </row>
    <row r="1337" spans="1:3" x14ac:dyDescent="0.25">
      <c r="A1337" s="8">
        <v>6783813</v>
      </c>
      <c r="B1337" s="9" t="s">
        <v>1537</v>
      </c>
      <c r="C1337" s="8" t="s">
        <v>26</v>
      </c>
    </row>
    <row r="1338" spans="1:3" x14ac:dyDescent="0.25">
      <c r="A1338" s="8">
        <v>6783815</v>
      </c>
      <c r="B1338" s="9" t="s">
        <v>1538</v>
      </c>
      <c r="C1338" s="8" t="s">
        <v>26</v>
      </c>
    </row>
    <row r="1339" spans="1:3" x14ac:dyDescent="0.25">
      <c r="A1339" s="8">
        <v>6783816</v>
      </c>
      <c r="B1339" s="9" t="s">
        <v>1539</v>
      </c>
      <c r="C1339" s="8" t="s">
        <v>26</v>
      </c>
    </row>
    <row r="1340" spans="1:3" x14ac:dyDescent="0.25">
      <c r="A1340" s="8">
        <v>6783946</v>
      </c>
      <c r="B1340" s="9" t="s">
        <v>1540</v>
      </c>
      <c r="C1340" s="8" t="s">
        <v>26</v>
      </c>
    </row>
    <row r="1341" spans="1:3" x14ac:dyDescent="0.25">
      <c r="A1341" s="8">
        <v>6783947</v>
      </c>
      <c r="B1341" s="9" t="s">
        <v>1541</v>
      </c>
      <c r="C1341" s="8" t="s">
        <v>26</v>
      </c>
    </row>
    <row r="1342" spans="1:3" x14ac:dyDescent="0.25">
      <c r="A1342" s="8">
        <v>6783948</v>
      </c>
      <c r="B1342" s="9" t="s">
        <v>1541</v>
      </c>
      <c r="C1342" s="8" t="s">
        <v>26</v>
      </c>
    </row>
    <row r="1343" spans="1:3" x14ac:dyDescent="0.25">
      <c r="A1343" s="8">
        <v>6783949</v>
      </c>
      <c r="B1343" s="9" t="s">
        <v>1542</v>
      </c>
      <c r="C1343" s="8" t="s">
        <v>26</v>
      </c>
    </row>
    <row r="1344" spans="1:3" x14ac:dyDescent="0.25">
      <c r="A1344" s="8">
        <v>6783972</v>
      </c>
      <c r="B1344" s="9" t="s">
        <v>1543</v>
      </c>
      <c r="C1344" s="8" t="s">
        <v>28</v>
      </c>
    </row>
    <row r="1345" spans="1:3" x14ac:dyDescent="0.25">
      <c r="A1345" s="8">
        <v>6783981</v>
      </c>
      <c r="B1345" s="9" t="s">
        <v>1544</v>
      </c>
      <c r="C1345" s="8" t="s">
        <v>28</v>
      </c>
    </row>
    <row r="1346" spans="1:3" x14ac:dyDescent="0.25">
      <c r="A1346" s="8">
        <v>6783983</v>
      </c>
      <c r="B1346" s="9" t="s">
        <v>1545</v>
      </c>
      <c r="C1346" s="8" t="s">
        <v>26</v>
      </c>
    </row>
    <row r="1347" spans="1:3" x14ac:dyDescent="0.25">
      <c r="A1347" s="8">
        <v>6783984</v>
      </c>
      <c r="B1347" s="9" t="s">
        <v>1545</v>
      </c>
      <c r="C1347" s="8" t="s">
        <v>26</v>
      </c>
    </row>
    <row r="1348" spans="1:3" x14ac:dyDescent="0.25">
      <c r="A1348" s="8">
        <v>6783985</v>
      </c>
      <c r="B1348" s="9" t="s">
        <v>1546</v>
      </c>
      <c r="C1348" s="8" t="s">
        <v>26</v>
      </c>
    </row>
    <row r="1349" spans="1:3" x14ac:dyDescent="0.25">
      <c r="A1349" s="8">
        <v>6784023</v>
      </c>
      <c r="B1349" s="9" t="s">
        <v>1547</v>
      </c>
      <c r="C1349" s="8" t="s">
        <v>27</v>
      </c>
    </row>
    <row r="1350" spans="1:3" x14ac:dyDescent="0.25">
      <c r="A1350" s="8">
        <v>6784112</v>
      </c>
      <c r="B1350" s="9" t="s">
        <v>73</v>
      </c>
      <c r="C1350" s="8" t="s">
        <v>26</v>
      </c>
    </row>
    <row r="1351" spans="1:3" x14ac:dyDescent="0.25">
      <c r="A1351" s="8">
        <v>6784169</v>
      </c>
      <c r="B1351" s="9" t="s">
        <v>1548</v>
      </c>
      <c r="C1351" s="8" t="s">
        <v>26</v>
      </c>
    </row>
    <row r="1352" spans="1:3" x14ac:dyDescent="0.25">
      <c r="A1352" s="8">
        <v>6784335</v>
      </c>
      <c r="B1352" s="9" t="s">
        <v>1549</v>
      </c>
      <c r="C1352" s="8" t="s">
        <v>26</v>
      </c>
    </row>
    <row r="1353" spans="1:3" x14ac:dyDescent="0.25">
      <c r="A1353" s="8">
        <v>6784384</v>
      </c>
      <c r="B1353" s="9" t="s">
        <v>1550</v>
      </c>
      <c r="C1353" s="8" t="s">
        <v>26</v>
      </c>
    </row>
    <row r="1354" spans="1:3" x14ac:dyDescent="0.25">
      <c r="A1354" s="8">
        <v>6784391</v>
      </c>
      <c r="B1354" s="9" t="s">
        <v>1551</v>
      </c>
      <c r="C1354" s="8" t="s">
        <v>26</v>
      </c>
    </row>
    <row r="1355" spans="1:3" x14ac:dyDescent="0.25">
      <c r="A1355" s="8">
        <v>6784450</v>
      </c>
      <c r="B1355" s="9" t="s">
        <v>1552</v>
      </c>
      <c r="C1355" s="8" t="s">
        <v>26</v>
      </c>
    </row>
    <row r="1356" spans="1:3" x14ac:dyDescent="0.25">
      <c r="A1356" s="8">
        <v>6784631</v>
      </c>
      <c r="B1356" s="9" t="s">
        <v>1298</v>
      </c>
      <c r="C1356" s="8" t="s">
        <v>26</v>
      </c>
    </row>
    <row r="1357" spans="1:3" x14ac:dyDescent="0.25">
      <c r="A1357" s="8">
        <v>6784632</v>
      </c>
      <c r="B1357" s="9" t="s">
        <v>1298</v>
      </c>
      <c r="C1357" s="8" t="s">
        <v>26</v>
      </c>
    </row>
    <row r="1358" spans="1:3" x14ac:dyDescent="0.25">
      <c r="A1358" s="8">
        <v>6784633</v>
      </c>
      <c r="B1358" s="9" t="s">
        <v>1298</v>
      </c>
      <c r="C1358" s="8" t="s">
        <v>26</v>
      </c>
    </row>
    <row r="1359" spans="1:3" x14ac:dyDescent="0.25">
      <c r="A1359" s="8">
        <v>6784634</v>
      </c>
      <c r="B1359" s="9" t="s">
        <v>1298</v>
      </c>
      <c r="C1359" s="8" t="s">
        <v>26</v>
      </c>
    </row>
    <row r="1360" spans="1:3" x14ac:dyDescent="0.25">
      <c r="A1360" s="8">
        <v>6784635</v>
      </c>
      <c r="B1360" s="9" t="s">
        <v>1553</v>
      </c>
      <c r="C1360" s="8" t="s">
        <v>26</v>
      </c>
    </row>
    <row r="1361" spans="1:3" x14ac:dyDescent="0.25">
      <c r="A1361" s="8">
        <v>6784834</v>
      </c>
      <c r="B1361" s="9" t="s">
        <v>1554</v>
      </c>
      <c r="C1361" s="8" t="s">
        <v>26</v>
      </c>
    </row>
    <row r="1362" spans="1:3" x14ac:dyDescent="0.25">
      <c r="A1362" s="8">
        <v>6784934</v>
      </c>
      <c r="B1362" s="9" t="s">
        <v>1555</v>
      </c>
      <c r="C1362" s="8" t="s">
        <v>26</v>
      </c>
    </row>
    <row r="1363" spans="1:3" x14ac:dyDescent="0.25">
      <c r="A1363" s="8">
        <v>6784935</v>
      </c>
      <c r="B1363" s="9" t="s">
        <v>1556</v>
      </c>
      <c r="C1363" s="8" t="s">
        <v>26</v>
      </c>
    </row>
    <row r="1364" spans="1:3" x14ac:dyDescent="0.25">
      <c r="A1364" s="8">
        <v>6784936</v>
      </c>
      <c r="B1364" s="9" t="s">
        <v>1555</v>
      </c>
      <c r="C1364" s="8" t="s">
        <v>26</v>
      </c>
    </row>
    <row r="1365" spans="1:3" x14ac:dyDescent="0.25">
      <c r="A1365" s="8">
        <v>6784937</v>
      </c>
      <c r="B1365" s="9" t="s">
        <v>1555</v>
      </c>
      <c r="C1365" s="8" t="s">
        <v>26</v>
      </c>
    </row>
    <row r="1366" spans="1:3" x14ac:dyDescent="0.25">
      <c r="A1366" s="8">
        <v>6784938</v>
      </c>
      <c r="B1366" s="9" t="s">
        <v>1555</v>
      </c>
      <c r="C1366" s="8" t="s">
        <v>26</v>
      </c>
    </row>
    <row r="1367" spans="1:3" x14ac:dyDescent="0.25">
      <c r="A1367" s="8">
        <v>6785168</v>
      </c>
      <c r="B1367" s="9" t="s">
        <v>1557</v>
      </c>
      <c r="C1367" s="8" t="s">
        <v>26</v>
      </c>
    </row>
    <row r="1368" spans="1:3" x14ac:dyDescent="0.25">
      <c r="A1368" s="8">
        <v>6785169</v>
      </c>
      <c r="B1368" s="9" t="s">
        <v>1558</v>
      </c>
      <c r="C1368" s="8" t="s">
        <v>26</v>
      </c>
    </row>
    <row r="1369" spans="1:3" x14ac:dyDescent="0.25">
      <c r="A1369" s="8">
        <v>6785222</v>
      </c>
      <c r="B1369" s="9" t="s">
        <v>1559</v>
      </c>
      <c r="C1369" s="8" t="s">
        <v>26</v>
      </c>
    </row>
    <row r="1370" spans="1:3" x14ac:dyDescent="0.25">
      <c r="A1370" s="8">
        <v>6785575</v>
      </c>
      <c r="B1370" s="9" t="s">
        <v>1560</v>
      </c>
      <c r="C1370" s="8" t="s">
        <v>26</v>
      </c>
    </row>
    <row r="1371" spans="1:3" x14ac:dyDescent="0.25">
      <c r="A1371" s="8">
        <v>6786415</v>
      </c>
      <c r="B1371" s="9" t="s">
        <v>1561</v>
      </c>
      <c r="C1371" s="8" t="s">
        <v>26</v>
      </c>
    </row>
    <row r="1372" spans="1:3" x14ac:dyDescent="0.25">
      <c r="A1372" s="8">
        <v>6786416</v>
      </c>
      <c r="B1372" s="9" t="s">
        <v>1561</v>
      </c>
      <c r="C1372" s="8" t="s">
        <v>26</v>
      </c>
    </row>
    <row r="1373" spans="1:3" x14ac:dyDescent="0.25">
      <c r="A1373" s="8">
        <v>6786751</v>
      </c>
      <c r="B1373" s="9" t="s">
        <v>1562</v>
      </c>
      <c r="C1373" s="8" t="s">
        <v>28</v>
      </c>
    </row>
    <row r="1374" spans="1:3" x14ac:dyDescent="0.25">
      <c r="A1374" s="8">
        <v>6786817</v>
      </c>
      <c r="B1374" s="9" t="s">
        <v>1563</v>
      </c>
      <c r="C1374" s="8" t="s">
        <v>28</v>
      </c>
    </row>
    <row r="1375" spans="1:3" x14ac:dyDescent="0.25">
      <c r="A1375" s="8">
        <v>6787413</v>
      </c>
      <c r="B1375" s="9" t="s">
        <v>1564</v>
      </c>
      <c r="C1375" s="8" t="s">
        <v>28</v>
      </c>
    </row>
    <row r="1376" spans="1:3" x14ac:dyDescent="0.25">
      <c r="A1376" s="8">
        <v>6787682</v>
      </c>
      <c r="B1376" s="9" t="s">
        <v>1565</v>
      </c>
      <c r="C1376" s="8" t="s">
        <v>28</v>
      </c>
    </row>
    <row r="1377" spans="1:3" x14ac:dyDescent="0.25">
      <c r="A1377" s="8">
        <v>6787748</v>
      </c>
      <c r="B1377" s="9" t="s">
        <v>1566</v>
      </c>
      <c r="C1377" s="8" t="s">
        <v>28</v>
      </c>
    </row>
    <row r="1378" spans="1:3" x14ac:dyDescent="0.25">
      <c r="A1378" s="8">
        <v>6787749</v>
      </c>
      <c r="B1378" s="9" t="s">
        <v>1567</v>
      </c>
      <c r="C1378" s="8" t="s">
        <v>28</v>
      </c>
    </row>
    <row r="1379" spans="1:3" x14ac:dyDescent="0.25">
      <c r="A1379" s="8">
        <v>6787750</v>
      </c>
      <c r="B1379" s="9" t="s">
        <v>1568</v>
      </c>
      <c r="C1379" s="8" t="s">
        <v>27</v>
      </c>
    </row>
    <row r="1380" spans="1:3" x14ac:dyDescent="0.25">
      <c r="A1380" s="8">
        <v>6788007</v>
      </c>
      <c r="B1380" s="9" t="s">
        <v>1569</v>
      </c>
      <c r="C1380" s="8" t="s">
        <v>30</v>
      </c>
    </row>
    <row r="1381" spans="1:3" x14ac:dyDescent="0.25">
      <c r="A1381" s="8">
        <v>6788096</v>
      </c>
      <c r="B1381" s="9" t="s">
        <v>1570</v>
      </c>
      <c r="C1381" s="8" t="s">
        <v>26</v>
      </c>
    </row>
    <row r="1382" spans="1:3" x14ac:dyDescent="0.25">
      <c r="A1382" s="8">
        <v>6788349</v>
      </c>
      <c r="B1382" s="9" t="s">
        <v>1571</v>
      </c>
      <c r="C1382" s="8" t="s">
        <v>28</v>
      </c>
    </row>
    <row r="1383" spans="1:3" x14ac:dyDescent="0.25">
      <c r="A1383" s="8">
        <v>6788369</v>
      </c>
      <c r="B1383" s="9" t="s">
        <v>1572</v>
      </c>
      <c r="C1383" s="8" t="s">
        <v>28</v>
      </c>
    </row>
    <row r="1384" spans="1:3" x14ac:dyDescent="0.25">
      <c r="A1384" s="8">
        <v>6788510</v>
      </c>
      <c r="B1384" s="9" t="s">
        <v>1573</v>
      </c>
      <c r="C1384" s="8" t="s">
        <v>27</v>
      </c>
    </row>
    <row r="1385" spans="1:3" x14ac:dyDescent="0.25">
      <c r="A1385" s="8">
        <v>6788519</v>
      </c>
      <c r="B1385" s="9" t="s">
        <v>1574</v>
      </c>
      <c r="C1385" s="8" t="s">
        <v>28</v>
      </c>
    </row>
    <row r="1386" spans="1:3" x14ac:dyDescent="0.25">
      <c r="A1386" s="8">
        <v>6788871</v>
      </c>
      <c r="B1386" s="9" t="s">
        <v>1575</v>
      </c>
      <c r="C1386" s="8" t="s">
        <v>30</v>
      </c>
    </row>
    <row r="1387" spans="1:3" x14ac:dyDescent="0.25">
      <c r="A1387" s="8">
        <v>6788881</v>
      </c>
      <c r="B1387" s="9" t="s">
        <v>1576</v>
      </c>
      <c r="C1387" s="8" t="s">
        <v>28</v>
      </c>
    </row>
    <row r="1388" spans="1:3" x14ac:dyDescent="0.25">
      <c r="A1388" s="8">
        <v>6788897</v>
      </c>
      <c r="B1388" s="9" t="s">
        <v>977</v>
      </c>
      <c r="C1388" s="8" t="s">
        <v>26</v>
      </c>
    </row>
    <row r="1389" spans="1:3" x14ac:dyDescent="0.25">
      <c r="A1389" s="8">
        <v>6789048</v>
      </c>
      <c r="B1389" s="9" t="s">
        <v>1577</v>
      </c>
      <c r="C1389" s="8" t="s">
        <v>26</v>
      </c>
    </row>
    <row r="1390" spans="1:3" x14ac:dyDescent="0.25">
      <c r="A1390" s="8">
        <v>6789061</v>
      </c>
      <c r="B1390" s="9" t="s">
        <v>1578</v>
      </c>
      <c r="C1390" s="8" t="s">
        <v>26</v>
      </c>
    </row>
    <row r="1391" spans="1:3" x14ac:dyDescent="0.25">
      <c r="A1391" s="8">
        <v>6789090</v>
      </c>
      <c r="B1391" s="9" t="s">
        <v>1579</v>
      </c>
      <c r="C1391" s="8" t="s">
        <v>26</v>
      </c>
    </row>
    <row r="1392" spans="1:3" x14ac:dyDescent="0.25">
      <c r="A1392" s="8">
        <v>6789091</v>
      </c>
      <c r="B1392" s="9" t="s">
        <v>1580</v>
      </c>
      <c r="C1392" s="8" t="s">
        <v>26</v>
      </c>
    </row>
    <row r="1393" spans="1:3" x14ac:dyDescent="0.25">
      <c r="A1393" s="8">
        <v>6789092</v>
      </c>
      <c r="B1393" s="9" t="s">
        <v>1581</v>
      </c>
      <c r="C1393" s="8" t="s">
        <v>26</v>
      </c>
    </row>
    <row r="1394" spans="1:3" x14ac:dyDescent="0.25">
      <c r="A1394" s="8">
        <v>6789145</v>
      </c>
      <c r="B1394" s="9" t="s">
        <v>1582</v>
      </c>
      <c r="C1394" s="8" t="s">
        <v>26</v>
      </c>
    </row>
    <row r="1395" spans="1:3" x14ac:dyDescent="0.25">
      <c r="A1395" s="8">
        <v>6789220</v>
      </c>
      <c r="B1395" s="9" t="s">
        <v>1583</v>
      </c>
      <c r="C1395" s="8" t="s">
        <v>28</v>
      </c>
    </row>
    <row r="1396" spans="1:3" x14ac:dyDescent="0.25">
      <c r="A1396" s="8">
        <v>6789221</v>
      </c>
      <c r="B1396" s="9" t="s">
        <v>1584</v>
      </c>
      <c r="C1396" s="8" t="s">
        <v>28</v>
      </c>
    </row>
    <row r="1397" spans="1:3" x14ac:dyDescent="0.25">
      <c r="A1397" s="8">
        <v>6789222</v>
      </c>
      <c r="B1397" s="9" t="s">
        <v>1585</v>
      </c>
      <c r="C1397" s="8" t="s">
        <v>28</v>
      </c>
    </row>
    <row r="1398" spans="1:3" x14ac:dyDescent="0.25">
      <c r="A1398" s="8">
        <v>6789224</v>
      </c>
      <c r="B1398" s="9" t="s">
        <v>1586</v>
      </c>
      <c r="C1398" s="8" t="s">
        <v>28</v>
      </c>
    </row>
    <row r="1399" spans="1:3" x14ac:dyDescent="0.25">
      <c r="A1399" s="8">
        <v>6789265</v>
      </c>
      <c r="B1399" s="9" t="s">
        <v>1587</v>
      </c>
      <c r="C1399" s="8" t="s">
        <v>26</v>
      </c>
    </row>
    <row r="1400" spans="1:3" x14ac:dyDescent="0.25">
      <c r="A1400" s="8">
        <v>6789266</v>
      </c>
      <c r="B1400" s="9" t="s">
        <v>1587</v>
      </c>
      <c r="C1400" s="8" t="s">
        <v>26</v>
      </c>
    </row>
    <row r="1401" spans="1:3" x14ac:dyDescent="0.25">
      <c r="A1401" s="8">
        <v>6789731</v>
      </c>
      <c r="B1401" s="9" t="s">
        <v>1588</v>
      </c>
      <c r="C1401" s="8" t="s">
        <v>27</v>
      </c>
    </row>
    <row r="1402" spans="1:3" x14ac:dyDescent="0.25">
      <c r="A1402" s="8">
        <v>6789737</v>
      </c>
      <c r="B1402" s="9" t="s">
        <v>1589</v>
      </c>
      <c r="C1402" s="8" t="s">
        <v>26</v>
      </c>
    </row>
    <row r="1403" spans="1:3" x14ac:dyDescent="0.25">
      <c r="A1403" s="8">
        <v>6789804</v>
      </c>
      <c r="B1403" s="9" t="s">
        <v>1590</v>
      </c>
      <c r="C1403" s="8" t="s">
        <v>27</v>
      </c>
    </row>
    <row r="1404" spans="1:3" x14ac:dyDescent="0.25">
      <c r="A1404" s="8">
        <v>6789808</v>
      </c>
      <c r="B1404" s="9" t="s">
        <v>1591</v>
      </c>
      <c r="C1404" s="8" t="s">
        <v>27</v>
      </c>
    </row>
    <row r="1405" spans="1:3" x14ac:dyDescent="0.25">
      <c r="A1405" s="8">
        <v>6789850</v>
      </c>
      <c r="B1405" s="9" t="s">
        <v>1592</v>
      </c>
      <c r="C1405" s="8" t="s">
        <v>28</v>
      </c>
    </row>
    <row r="1406" spans="1:3" x14ac:dyDescent="0.25">
      <c r="A1406" s="8">
        <v>6789852</v>
      </c>
      <c r="B1406" s="9" t="s">
        <v>1593</v>
      </c>
      <c r="C1406" s="8" t="s">
        <v>27</v>
      </c>
    </row>
    <row r="1407" spans="1:3" x14ac:dyDescent="0.25">
      <c r="A1407" s="8">
        <v>6789853</v>
      </c>
      <c r="B1407" s="9" t="s">
        <v>1594</v>
      </c>
      <c r="C1407" s="8" t="s">
        <v>27</v>
      </c>
    </row>
    <row r="1408" spans="1:3" x14ac:dyDescent="0.25">
      <c r="A1408" s="8">
        <v>6789854</v>
      </c>
      <c r="B1408" s="9" t="s">
        <v>1595</v>
      </c>
      <c r="C1408" s="8" t="s">
        <v>27</v>
      </c>
    </row>
    <row r="1409" spans="1:3" x14ac:dyDescent="0.25">
      <c r="A1409" s="8">
        <v>6789855</v>
      </c>
      <c r="B1409" s="9" t="s">
        <v>1596</v>
      </c>
      <c r="C1409" s="8" t="s">
        <v>27</v>
      </c>
    </row>
    <row r="1410" spans="1:3" x14ac:dyDescent="0.25">
      <c r="A1410" s="8">
        <v>6789856</v>
      </c>
      <c r="B1410" s="9" t="s">
        <v>210</v>
      </c>
      <c r="C1410" s="8" t="s">
        <v>27</v>
      </c>
    </row>
    <row r="1411" spans="1:3" x14ac:dyDescent="0.25">
      <c r="A1411" s="8">
        <v>6789857</v>
      </c>
      <c r="B1411" s="9" t="s">
        <v>1597</v>
      </c>
      <c r="C1411" s="8" t="s">
        <v>31</v>
      </c>
    </row>
    <row r="1412" spans="1:3" x14ac:dyDescent="0.25">
      <c r="A1412" s="8">
        <v>6789859</v>
      </c>
      <c r="B1412" s="9" t="s">
        <v>1598</v>
      </c>
      <c r="C1412" s="8" t="s">
        <v>27</v>
      </c>
    </row>
    <row r="1413" spans="1:3" x14ac:dyDescent="0.25">
      <c r="A1413" s="8">
        <v>6789871</v>
      </c>
      <c r="B1413" s="9" t="s">
        <v>1599</v>
      </c>
      <c r="C1413" s="8" t="s">
        <v>27</v>
      </c>
    </row>
    <row r="1414" spans="1:3" x14ac:dyDescent="0.25">
      <c r="A1414" s="8">
        <v>6789873</v>
      </c>
      <c r="B1414" s="9" t="s">
        <v>1600</v>
      </c>
      <c r="C1414" s="8" t="s">
        <v>27</v>
      </c>
    </row>
    <row r="1415" spans="1:3" x14ac:dyDescent="0.25">
      <c r="A1415" s="8">
        <v>6789874</v>
      </c>
      <c r="B1415" s="9" t="s">
        <v>1601</v>
      </c>
      <c r="C1415" s="8" t="s">
        <v>31</v>
      </c>
    </row>
    <row r="1416" spans="1:3" x14ac:dyDescent="0.25">
      <c r="A1416" s="8">
        <v>6789875</v>
      </c>
      <c r="B1416" s="9" t="s">
        <v>1602</v>
      </c>
      <c r="C1416" s="8" t="s">
        <v>31</v>
      </c>
    </row>
    <row r="1417" spans="1:3" x14ac:dyDescent="0.25">
      <c r="A1417" s="8">
        <v>6789876</v>
      </c>
      <c r="B1417" s="9" t="s">
        <v>1603</v>
      </c>
      <c r="C1417" s="8" t="s">
        <v>28</v>
      </c>
    </row>
    <row r="1418" spans="1:3" x14ac:dyDescent="0.25">
      <c r="A1418" s="8">
        <v>6790480</v>
      </c>
      <c r="B1418" s="9" t="s">
        <v>1604</v>
      </c>
      <c r="C1418" s="8" t="s">
        <v>27</v>
      </c>
    </row>
    <row r="1419" spans="1:3" x14ac:dyDescent="0.25">
      <c r="A1419" s="8">
        <v>6790481</v>
      </c>
      <c r="B1419" s="9" t="s">
        <v>1605</v>
      </c>
      <c r="C1419" s="8" t="s">
        <v>27</v>
      </c>
    </row>
    <row r="1420" spans="1:3" x14ac:dyDescent="0.25">
      <c r="A1420" s="8">
        <v>6790482</v>
      </c>
      <c r="B1420" s="9" t="s">
        <v>202</v>
      </c>
      <c r="C1420" s="8" t="s">
        <v>27</v>
      </c>
    </row>
    <row r="1421" spans="1:3" x14ac:dyDescent="0.25">
      <c r="A1421" s="8">
        <v>6790483</v>
      </c>
      <c r="B1421" s="9" t="s">
        <v>1606</v>
      </c>
      <c r="C1421" s="8" t="s">
        <v>27</v>
      </c>
    </row>
    <row r="1422" spans="1:3" x14ac:dyDescent="0.25">
      <c r="A1422" s="8">
        <v>6790484</v>
      </c>
      <c r="B1422" s="9" t="s">
        <v>1607</v>
      </c>
      <c r="C1422" s="8" t="s">
        <v>27</v>
      </c>
    </row>
    <row r="1423" spans="1:3" x14ac:dyDescent="0.25">
      <c r="A1423" s="8">
        <v>6790485</v>
      </c>
      <c r="B1423" s="9" t="s">
        <v>203</v>
      </c>
      <c r="C1423" s="8" t="s">
        <v>27</v>
      </c>
    </row>
    <row r="1424" spans="1:3" x14ac:dyDescent="0.25">
      <c r="A1424" s="8">
        <v>6790494</v>
      </c>
      <c r="B1424" s="9" t="s">
        <v>1608</v>
      </c>
      <c r="C1424" s="8" t="s">
        <v>28</v>
      </c>
    </row>
    <row r="1425" spans="1:3" x14ac:dyDescent="0.25">
      <c r="A1425" s="8">
        <v>6790496</v>
      </c>
      <c r="B1425" s="9" t="s">
        <v>1609</v>
      </c>
      <c r="C1425" s="8" t="s">
        <v>26</v>
      </c>
    </row>
    <row r="1426" spans="1:3" x14ac:dyDescent="0.25">
      <c r="A1426" s="8">
        <v>6790497</v>
      </c>
      <c r="B1426" s="9" t="s">
        <v>1610</v>
      </c>
      <c r="C1426" s="8" t="s">
        <v>28</v>
      </c>
    </row>
    <row r="1427" spans="1:3" x14ac:dyDescent="0.25">
      <c r="A1427" s="8">
        <v>6790498</v>
      </c>
      <c r="B1427" s="9" t="s">
        <v>1611</v>
      </c>
      <c r="C1427" s="8" t="s">
        <v>28</v>
      </c>
    </row>
    <row r="1428" spans="1:3" x14ac:dyDescent="0.25">
      <c r="A1428" s="8">
        <v>6790499</v>
      </c>
      <c r="B1428" s="9" t="s">
        <v>1612</v>
      </c>
      <c r="C1428" s="8" t="s">
        <v>28</v>
      </c>
    </row>
    <row r="1429" spans="1:3" x14ac:dyDescent="0.25">
      <c r="A1429" s="8">
        <v>6790660</v>
      </c>
      <c r="B1429" s="9" t="s">
        <v>1613</v>
      </c>
      <c r="C1429" s="8" t="s">
        <v>28</v>
      </c>
    </row>
    <row r="1430" spans="1:3" x14ac:dyDescent="0.25">
      <c r="A1430" s="8">
        <v>6790661</v>
      </c>
      <c r="B1430" s="9" t="s">
        <v>1614</v>
      </c>
      <c r="C1430" s="8" t="s">
        <v>28</v>
      </c>
    </row>
    <row r="1431" spans="1:3" x14ac:dyDescent="0.25">
      <c r="A1431" s="8">
        <v>6790662</v>
      </c>
      <c r="B1431" s="9" t="s">
        <v>1615</v>
      </c>
      <c r="C1431" s="8" t="s">
        <v>28</v>
      </c>
    </row>
    <row r="1432" spans="1:3" x14ac:dyDescent="0.25">
      <c r="A1432" s="8">
        <v>6790663</v>
      </c>
      <c r="B1432" s="9" t="s">
        <v>1616</v>
      </c>
      <c r="C1432" s="8" t="s">
        <v>27</v>
      </c>
    </row>
    <row r="1433" spans="1:3" x14ac:dyDescent="0.25">
      <c r="A1433" s="8">
        <v>6790664</v>
      </c>
      <c r="B1433" s="9" t="s">
        <v>1617</v>
      </c>
      <c r="C1433" s="8" t="s">
        <v>28</v>
      </c>
    </row>
    <row r="1434" spans="1:3" x14ac:dyDescent="0.25">
      <c r="A1434" s="8">
        <v>6790666</v>
      </c>
      <c r="B1434" s="9" t="s">
        <v>1618</v>
      </c>
      <c r="C1434" s="8" t="s">
        <v>28</v>
      </c>
    </row>
    <row r="1435" spans="1:3" x14ac:dyDescent="0.25">
      <c r="A1435" s="8">
        <v>6790667</v>
      </c>
      <c r="B1435" s="9" t="s">
        <v>1619</v>
      </c>
      <c r="C1435" s="8" t="s">
        <v>28</v>
      </c>
    </row>
    <row r="1436" spans="1:3" x14ac:dyDescent="0.25">
      <c r="A1436" s="8">
        <v>6790669</v>
      </c>
      <c r="B1436" s="9" t="s">
        <v>1620</v>
      </c>
      <c r="C1436" s="8" t="s">
        <v>28</v>
      </c>
    </row>
    <row r="1437" spans="1:3" x14ac:dyDescent="0.25">
      <c r="A1437" s="8">
        <v>6790858</v>
      </c>
      <c r="B1437" s="9" t="s">
        <v>1621</v>
      </c>
      <c r="C1437" s="8" t="s">
        <v>28</v>
      </c>
    </row>
    <row r="1438" spans="1:3" x14ac:dyDescent="0.25">
      <c r="A1438" s="8">
        <v>6790859</v>
      </c>
      <c r="B1438" s="9" t="s">
        <v>1622</v>
      </c>
      <c r="C1438" s="8" t="s">
        <v>28</v>
      </c>
    </row>
    <row r="1439" spans="1:3" x14ac:dyDescent="0.25">
      <c r="A1439" s="8">
        <v>6790890</v>
      </c>
      <c r="B1439" s="9" t="s">
        <v>1623</v>
      </c>
      <c r="C1439" s="8" t="s">
        <v>28</v>
      </c>
    </row>
    <row r="1440" spans="1:3" x14ac:dyDescent="0.25">
      <c r="A1440" s="8">
        <v>6791080</v>
      </c>
      <c r="B1440" s="9" t="s">
        <v>1624</v>
      </c>
      <c r="C1440" s="8" t="s">
        <v>27</v>
      </c>
    </row>
    <row r="1441" spans="1:3" x14ac:dyDescent="0.25">
      <c r="A1441" s="8">
        <v>6791081</v>
      </c>
      <c r="B1441" s="9" t="s">
        <v>1625</v>
      </c>
      <c r="C1441" s="8" t="s">
        <v>27</v>
      </c>
    </row>
    <row r="1442" spans="1:3" x14ac:dyDescent="0.25">
      <c r="A1442" s="8">
        <v>6791560</v>
      </c>
      <c r="B1442" s="9" t="s">
        <v>1626</v>
      </c>
      <c r="C1442" s="8" t="s">
        <v>28</v>
      </c>
    </row>
    <row r="1443" spans="1:3" x14ac:dyDescent="0.25">
      <c r="A1443" s="8">
        <v>6791561</v>
      </c>
      <c r="B1443" s="9" t="s">
        <v>1627</v>
      </c>
      <c r="C1443" s="8" t="s">
        <v>28</v>
      </c>
    </row>
    <row r="1444" spans="1:3" x14ac:dyDescent="0.25">
      <c r="A1444" s="8">
        <v>6791562</v>
      </c>
      <c r="B1444" s="9" t="s">
        <v>1628</v>
      </c>
      <c r="C1444" s="8" t="s">
        <v>28</v>
      </c>
    </row>
    <row r="1445" spans="1:3" x14ac:dyDescent="0.25">
      <c r="A1445" s="8">
        <v>6791563</v>
      </c>
      <c r="B1445" s="9" t="s">
        <v>1629</v>
      </c>
      <c r="C1445" s="8" t="s">
        <v>28</v>
      </c>
    </row>
    <row r="1446" spans="1:3" x14ac:dyDescent="0.25">
      <c r="A1446" s="8">
        <v>6791649</v>
      </c>
      <c r="B1446" s="9" t="s">
        <v>1630</v>
      </c>
      <c r="C1446" s="8" t="s">
        <v>26</v>
      </c>
    </row>
    <row r="1447" spans="1:3" x14ac:dyDescent="0.25">
      <c r="A1447" s="8">
        <v>6792143</v>
      </c>
      <c r="B1447" s="9" t="s">
        <v>1631</v>
      </c>
      <c r="C1447" s="8" t="s">
        <v>28</v>
      </c>
    </row>
    <row r="1448" spans="1:3" x14ac:dyDescent="0.25">
      <c r="A1448" s="8">
        <v>6792145</v>
      </c>
      <c r="B1448" s="9" t="s">
        <v>1632</v>
      </c>
      <c r="C1448" s="8" t="s">
        <v>28</v>
      </c>
    </row>
    <row r="1449" spans="1:3" x14ac:dyDescent="0.25">
      <c r="A1449" s="8">
        <v>6792146</v>
      </c>
      <c r="B1449" s="9" t="s">
        <v>1633</v>
      </c>
      <c r="C1449" s="8" t="s">
        <v>28</v>
      </c>
    </row>
    <row r="1450" spans="1:3" x14ac:dyDescent="0.25">
      <c r="A1450" s="8">
        <v>6792147</v>
      </c>
      <c r="B1450" s="9" t="s">
        <v>1634</v>
      </c>
      <c r="C1450" s="8" t="s">
        <v>28</v>
      </c>
    </row>
    <row r="1451" spans="1:3" x14ac:dyDescent="0.25">
      <c r="A1451" s="8">
        <v>6792148</v>
      </c>
      <c r="B1451" s="9" t="s">
        <v>1635</v>
      </c>
      <c r="C1451" s="8" t="s">
        <v>28</v>
      </c>
    </row>
    <row r="1452" spans="1:3" x14ac:dyDescent="0.25">
      <c r="A1452" s="8">
        <v>6792149</v>
      </c>
      <c r="B1452" s="9" t="s">
        <v>1636</v>
      </c>
      <c r="C1452" s="8" t="s">
        <v>28</v>
      </c>
    </row>
    <row r="1453" spans="1:3" x14ac:dyDescent="0.25">
      <c r="A1453" s="8">
        <v>6792484</v>
      </c>
      <c r="B1453" s="9" t="s">
        <v>1637</v>
      </c>
      <c r="C1453" s="8" t="s">
        <v>28</v>
      </c>
    </row>
    <row r="1454" spans="1:3" x14ac:dyDescent="0.25">
      <c r="A1454" s="8">
        <v>6792491</v>
      </c>
      <c r="B1454" s="9" t="s">
        <v>1638</v>
      </c>
      <c r="C1454" s="8" t="s">
        <v>28</v>
      </c>
    </row>
    <row r="1455" spans="1:3" x14ac:dyDescent="0.25">
      <c r="A1455" s="8">
        <v>6792493</v>
      </c>
      <c r="B1455" s="9" t="s">
        <v>1639</v>
      </c>
      <c r="C1455" s="8" t="s">
        <v>26</v>
      </c>
    </row>
    <row r="1456" spans="1:3" x14ac:dyDescent="0.25">
      <c r="A1456" s="8">
        <v>6792626</v>
      </c>
      <c r="B1456" s="9" t="s">
        <v>1640</v>
      </c>
      <c r="C1456" s="8" t="s">
        <v>26</v>
      </c>
    </row>
    <row r="1457" spans="1:3" x14ac:dyDescent="0.25">
      <c r="A1457" s="8">
        <v>6792784</v>
      </c>
      <c r="B1457" s="9" t="s">
        <v>1641</v>
      </c>
      <c r="C1457" s="8" t="s">
        <v>28</v>
      </c>
    </row>
    <row r="1458" spans="1:3" x14ac:dyDescent="0.25">
      <c r="A1458" s="8">
        <v>6792845</v>
      </c>
      <c r="B1458" s="9" t="s">
        <v>74</v>
      </c>
      <c r="C1458" s="8" t="s">
        <v>28</v>
      </c>
    </row>
    <row r="1459" spans="1:3" x14ac:dyDescent="0.25">
      <c r="A1459" s="8">
        <v>6793657</v>
      </c>
      <c r="B1459" s="9" t="s">
        <v>1642</v>
      </c>
      <c r="C1459" s="8" t="s">
        <v>28</v>
      </c>
    </row>
    <row r="1460" spans="1:3" x14ac:dyDescent="0.25">
      <c r="A1460" s="8">
        <v>6793691</v>
      </c>
      <c r="B1460" s="9" t="s">
        <v>392</v>
      </c>
      <c r="C1460" s="8" t="s">
        <v>28</v>
      </c>
    </row>
    <row r="1461" spans="1:3" x14ac:dyDescent="0.25">
      <c r="A1461" s="8">
        <v>6793692</v>
      </c>
      <c r="B1461" s="9" t="s">
        <v>232</v>
      </c>
      <c r="C1461" s="8" t="s">
        <v>28</v>
      </c>
    </row>
    <row r="1462" spans="1:3" x14ac:dyDescent="0.25">
      <c r="A1462" s="8">
        <v>6793792</v>
      </c>
      <c r="B1462" s="9" t="s">
        <v>1643</v>
      </c>
      <c r="C1462" s="8" t="s">
        <v>31</v>
      </c>
    </row>
    <row r="1463" spans="1:3" x14ac:dyDescent="0.25">
      <c r="A1463" s="8">
        <v>6793835</v>
      </c>
      <c r="B1463" s="9" t="s">
        <v>1644</v>
      </c>
      <c r="C1463" s="8" t="s">
        <v>27</v>
      </c>
    </row>
    <row r="1464" spans="1:3" x14ac:dyDescent="0.25">
      <c r="A1464" s="8">
        <v>6793858</v>
      </c>
      <c r="B1464" s="9" t="s">
        <v>1645</v>
      </c>
      <c r="C1464" s="8" t="s">
        <v>26</v>
      </c>
    </row>
    <row r="1465" spans="1:3" x14ac:dyDescent="0.25">
      <c r="A1465" s="8">
        <v>6794284</v>
      </c>
      <c r="B1465" s="9" t="s">
        <v>1646</v>
      </c>
      <c r="C1465" s="8" t="s">
        <v>26</v>
      </c>
    </row>
    <row r="1466" spans="1:3" x14ac:dyDescent="0.25">
      <c r="A1466" s="8">
        <v>6794309</v>
      </c>
      <c r="B1466" s="9" t="s">
        <v>1647</v>
      </c>
      <c r="C1466" s="8" t="s">
        <v>28</v>
      </c>
    </row>
    <row r="1467" spans="1:3" x14ac:dyDescent="0.25">
      <c r="A1467" s="8">
        <v>6794396</v>
      </c>
      <c r="B1467" s="9" t="s">
        <v>1648</v>
      </c>
      <c r="C1467" s="8" t="s">
        <v>28</v>
      </c>
    </row>
    <row r="1468" spans="1:3" x14ac:dyDescent="0.25">
      <c r="A1468" s="8">
        <v>6794397</v>
      </c>
      <c r="B1468" s="9" t="s">
        <v>1649</v>
      </c>
      <c r="C1468" s="8" t="s">
        <v>26</v>
      </c>
    </row>
    <row r="1469" spans="1:3" x14ac:dyDescent="0.25">
      <c r="A1469" s="8">
        <v>6794404</v>
      </c>
      <c r="B1469" s="9" t="s">
        <v>1650</v>
      </c>
      <c r="C1469" s="8" t="s">
        <v>28</v>
      </c>
    </row>
    <row r="1470" spans="1:3" x14ac:dyDescent="0.25">
      <c r="A1470" s="8">
        <v>6794405</v>
      </c>
      <c r="B1470" s="9" t="s">
        <v>1651</v>
      </c>
      <c r="C1470" s="8" t="s">
        <v>28</v>
      </c>
    </row>
    <row r="1471" spans="1:3" x14ac:dyDescent="0.25">
      <c r="A1471" s="8">
        <v>6794406</v>
      </c>
      <c r="B1471" s="9" t="s">
        <v>1652</v>
      </c>
      <c r="C1471" s="8" t="s">
        <v>28</v>
      </c>
    </row>
    <row r="1472" spans="1:3" x14ac:dyDescent="0.25">
      <c r="A1472" s="8">
        <v>6794408</v>
      </c>
      <c r="B1472" s="9" t="s">
        <v>1653</v>
      </c>
      <c r="C1472" s="8" t="s">
        <v>26</v>
      </c>
    </row>
    <row r="1473" spans="1:3" x14ac:dyDescent="0.25">
      <c r="A1473" s="8">
        <v>6794484</v>
      </c>
      <c r="B1473" s="9" t="s">
        <v>1654</v>
      </c>
      <c r="C1473" s="8" t="s">
        <v>28</v>
      </c>
    </row>
    <row r="1474" spans="1:3" x14ac:dyDescent="0.25">
      <c r="A1474" s="8">
        <v>6794485</v>
      </c>
      <c r="B1474" s="9" t="s">
        <v>1655</v>
      </c>
      <c r="C1474" s="8" t="s">
        <v>26</v>
      </c>
    </row>
    <row r="1475" spans="1:3" x14ac:dyDescent="0.25">
      <c r="A1475" s="8">
        <v>6794535</v>
      </c>
      <c r="B1475" s="9" t="s">
        <v>1656</v>
      </c>
      <c r="C1475" s="8" t="s">
        <v>28</v>
      </c>
    </row>
    <row r="1476" spans="1:3" x14ac:dyDescent="0.25">
      <c r="A1476" s="8">
        <v>6794539</v>
      </c>
      <c r="B1476" s="9" t="s">
        <v>1657</v>
      </c>
      <c r="C1476" s="8" t="s">
        <v>28</v>
      </c>
    </row>
    <row r="1477" spans="1:3" x14ac:dyDescent="0.25">
      <c r="A1477" s="8">
        <v>6794722</v>
      </c>
      <c r="B1477" s="9" t="s">
        <v>1658</v>
      </c>
      <c r="C1477" s="8" t="s">
        <v>26</v>
      </c>
    </row>
    <row r="1478" spans="1:3" x14ac:dyDescent="0.25">
      <c r="A1478" s="8">
        <v>6794724</v>
      </c>
      <c r="B1478" s="9" t="s">
        <v>1659</v>
      </c>
      <c r="C1478" s="8" t="s">
        <v>26</v>
      </c>
    </row>
    <row r="1479" spans="1:3" x14ac:dyDescent="0.25">
      <c r="A1479" s="8">
        <v>6794725</v>
      </c>
      <c r="B1479" s="9" t="s">
        <v>1660</v>
      </c>
      <c r="C1479" s="8" t="s">
        <v>26</v>
      </c>
    </row>
    <row r="1480" spans="1:3" x14ac:dyDescent="0.25">
      <c r="A1480" s="8">
        <v>6794726</v>
      </c>
      <c r="B1480" s="9" t="s">
        <v>1661</v>
      </c>
      <c r="C1480" s="8" t="s">
        <v>26</v>
      </c>
    </row>
    <row r="1481" spans="1:3" x14ac:dyDescent="0.25">
      <c r="A1481" s="8">
        <v>6794727</v>
      </c>
      <c r="B1481" s="9" t="s">
        <v>1662</v>
      </c>
      <c r="C1481" s="8" t="s">
        <v>28</v>
      </c>
    </row>
    <row r="1482" spans="1:3" x14ac:dyDescent="0.25">
      <c r="A1482" s="8">
        <v>6794936</v>
      </c>
      <c r="B1482" s="9" t="s">
        <v>1663</v>
      </c>
      <c r="C1482" s="8" t="s">
        <v>28</v>
      </c>
    </row>
    <row r="1483" spans="1:3" x14ac:dyDescent="0.25">
      <c r="A1483" s="8">
        <v>6794937</v>
      </c>
      <c r="B1483" s="9" t="s">
        <v>1664</v>
      </c>
      <c r="C1483" s="8" t="s">
        <v>28</v>
      </c>
    </row>
    <row r="1484" spans="1:3" x14ac:dyDescent="0.25">
      <c r="A1484" s="8">
        <v>6795527</v>
      </c>
      <c r="B1484" s="9" t="s">
        <v>75</v>
      </c>
      <c r="C1484" s="8" t="s">
        <v>30</v>
      </c>
    </row>
    <row r="1485" spans="1:3" x14ac:dyDescent="0.25">
      <c r="A1485" s="8">
        <v>6795528</v>
      </c>
      <c r="B1485" s="9" t="s">
        <v>1665</v>
      </c>
      <c r="C1485" s="8" t="s">
        <v>30</v>
      </c>
    </row>
    <row r="1486" spans="1:3" x14ac:dyDescent="0.25">
      <c r="A1486" s="8">
        <v>6795529</v>
      </c>
      <c r="B1486" s="9" t="s">
        <v>75</v>
      </c>
      <c r="C1486" s="8" t="s">
        <v>30</v>
      </c>
    </row>
    <row r="1487" spans="1:3" x14ac:dyDescent="0.25">
      <c r="A1487" s="8">
        <v>6795570</v>
      </c>
      <c r="B1487" s="9" t="s">
        <v>1666</v>
      </c>
      <c r="C1487" s="8" t="s">
        <v>30</v>
      </c>
    </row>
    <row r="1488" spans="1:3" x14ac:dyDescent="0.25">
      <c r="A1488" s="8">
        <v>6795830</v>
      </c>
      <c r="B1488" s="9" t="s">
        <v>368</v>
      </c>
      <c r="C1488" s="8" t="s">
        <v>28</v>
      </c>
    </row>
    <row r="1489" spans="1:3" x14ac:dyDescent="0.25">
      <c r="A1489" s="8">
        <v>6795831</v>
      </c>
      <c r="B1489" s="9" t="s">
        <v>1667</v>
      </c>
      <c r="C1489" s="8" t="s">
        <v>27</v>
      </c>
    </row>
    <row r="1490" spans="1:3" x14ac:dyDescent="0.25">
      <c r="A1490" s="8">
        <v>6795954</v>
      </c>
      <c r="B1490" s="9" t="s">
        <v>303</v>
      </c>
      <c r="C1490" s="8" t="s">
        <v>28</v>
      </c>
    </row>
    <row r="1491" spans="1:3" x14ac:dyDescent="0.25">
      <c r="A1491" s="8">
        <v>6796315</v>
      </c>
      <c r="B1491" s="9" t="s">
        <v>1668</v>
      </c>
      <c r="C1491" s="8" t="s">
        <v>28</v>
      </c>
    </row>
    <row r="1492" spans="1:3" x14ac:dyDescent="0.25">
      <c r="A1492" s="8">
        <v>6796389</v>
      </c>
      <c r="B1492" s="9" t="s">
        <v>1669</v>
      </c>
      <c r="C1492" s="8" t="s">
        <v>28</v>
      </c>
    </row>
    <row r="1493" spans="1:3" x14ac:dyDescent="0.25">
      <c r="A1493" s="8">
        <v>6796608</v>
      </c>
      <c r="B1493" s="9" t="s">
        <v>1670</v>
      </c>
      <c r="C1493" s="8" t="s">
        <v>28</v>
      </c>
    </row>
    <row r="1494" spans="1:3" x14ac:dyDescent="0.25">
      <c r="A1494" s="8">
        <v>6796609</v>
      </c>
      <c r="B1494" s="9" t="s">
        <v>1671</v>
      </c>
      <c r="C1494" s="8" t="s">
        <v>28</v>
      </c>
    </row>
    <row r="1495" spans="1:3" x14ac:dyDescent="0.25">
      <c r="A1495" s="8">
        <v>6796612</v>
      </c>
      <c r="B1495" s="9" t="s">
        <v>1672</v>
      </c>
      <c r="C1495" s="8" t="s">
        <v>28</v>
      </c>
    </row>
    <row r="1496" spans="1:3" x14ac:dyDescent="0.25">
      <c r="A1496" s="8">
        <v>6796620</v>
      </c>
      <c r="B1496" s="9" t="s">
        <v>1673</v>
      </c>
      <c r="C1496" s="8" t="s">
        <v>28</v>
      </c>
    </row>
    <row r="1497" spans="1:3" x14ac:dyDescent="0.25">
      <c r="A1497" s="8">
        <v>6797083</v>
      </c>
      <c r="B1497" s="9" t="s">
        <v>1674</v>
      </c>
      <c r="C1497" s="8" t="s">
        <v>26</v>
      </c>
    </row>
    <row r="1498" spans="1:3" x14ac:dyDescent="0.25">
      <c r="A1498" s="8">
        <v>6797209</v>
      </c>
      <c r="B1498" s="9" t="s">
        <v>76</v>
      </c>
      <c r="C1498" s="8" t="s">
        <v>26</v>
      </c>
    </row>
    <row r="1499" spans="1:3" x14ac:dyDescent="0.25">
      <c r="A1499" s="8">
        <v>6797634</v>
      </c>
      <c r="B1499" s="9" t="s">
        <v>1675</v>
      </c>
      <c r="C1499" s="8" t="s">
        <v>31</v>
      </c>
    </row>
    <row r="1500" spans="1:3" x14ac:dyDescent="0.25">
      <c r="A1500" s="8">
        <v>6797685</v>
      </c>
      <c r="B1500" s="9" t="s">
        <v>1676</v>
      </c>
      <c r="C1500" s="8" t="s">
        <v>31</v>
      </c>
    </row>
    <row r="1501" spans="1:3" x14ac:dyDescent="0.25">
      <c r="A1501" s="8">
        <v>6797686</v>
      </c>
      <c r="B1501" s="9" t="s">
        <v>1677</v>
      </c>
      <c r="C1501" s="8" t="s">
        <v>31</v>
      </c>
    </row>
    <row r="1502" spans="1:3" x14ac:dyDescent="0.25">
      <c r="A1502" s="8">
        <v>6797691</v>
      </c>
      <c r="B1502" s="9" t="s">
        <v>1678</v>
      </c>
      <c r="C1502" s="8" t="s">
        <v>28</v>
      </c>
    </row>
    <row r="1503" spans="1:3" x14ac:dyDescent="0.25">
      <c r="A1503" s="8">
        <v>6797692</v>
      </c>
      <c r="B1503" s="9" t="s">
        <v>1679</v>
      </c>
      <c r="C1503" s="8" t="s">
        <v>28</v>
      </c>
    </row>
    <row r="1504" spans="1:3" x14ac:dyDescent="0.25">
      <c r="A1504" s="8">
        <v>6797986</v>
      </c>
      <c r="B1504" s="9" t="s">
        <v>1680</v>
      </c>
      <c r="C1504" s="8" t="s">
        <v>28</v>
      </c>
    </row>
    <row r="1505" spans="1:3" x14ac:dyDescent="0.25">
      <c r="A1505" s="8">
        <v>6797994</v>
      </c>
      <c r="B1505" s="9" t="s">
        <v>1681</v>
      </c>
      <c r="C1505" s="8" t="s">
        <v>28</v>
      </c>
    </row>
    <row r="1506" spans="1:3" x14ac:dyDescent="0.25">
      <c r="A1506" s="8">
        <v>6798030</v>
      </c>
      <c r="B1506" s="9" t="s">
        <v>1682</v>
      </c>
      <c r="C1506" s="8" t="s">
        <v>28</v>
      </c>
    </row>
    <row r="1507" spans="1:3" x14ac:dyDescent="0.25">
      <c r="A1507" s="8">
        <v>6798031</v>
      </c>
      <c r="B1507" s="9" t="s">
        <v>214</v>
      </c>
      <c r="C1507" s="8" t="s">
        <v>28</v>
      </c>
    </row>
    <row r="1508" spans="1:3" x14ac:dyDescent="0.25">
      <c r="A1508" s="8">
        <v>6798032</v>
      </c>
      <c r="B1508" s="9" t="s">
        <v>1683</v>
      </c>
      <c r="C1508" s="8" t="s">
        <v>28</v>
      </c>
    </row>
    <row r="1509" spans="1:3" x14ac:dyDescent="0.25">
      <c r="A1509" s="8">
        <v>6798302</v>
      </c>
      <c r="B1509" s="9" t="s">
        <v>1684</v>
      </c>
      <c r="C1509" s="8" t="s">
        <v>28</v>
      </c>
    </row>
    <row r="1510" spans="1:3" x14ac:dyDescent="0.25">
      <c r="A1510" s="8">
        <v>6798310</v>
      </c>
      <c r="B1510" s="9" t="s">
        <v>1685</v>
      </c>
      <c r="C1510" s="8" t="s">
        <v>26</v>
      </c>
    </row>
    <row r="1511" spans="1:3" x14ac:dyDescent="0.25">
      <c r="A1511" s="8">
        <v>6798311</v>
      </c>
      <c r="B1511" s="9" t="s">
        <v>1686</v>
      </c>
      <c r="C1511" s="8" t="s">
        <v>26</v>
      </c>
    </row>
    <row r="1512" spans="1:3" x14ac:dyDescent="0.25">
      <c r="A1512" s="8">
        <v>6798515</v>
      </c>
      <c r="B1512" s="9" t="s">
        <v>1687</v>
      </c>
      <c r="C1512" s="8" t="s">
        <v>27</v>
      </c>
    </row>
    <row r="1513" spans="1:3" x14ac:dyDescent="0.25">
      <c r="A1513" s="8">
        <v>6798540</v>
      </c>
      <c r="B1513" s="9" t="s">
        <v>1504</v>
      </c>
      <c r="C1513" s="8" t="s">
        <v>28</v>
      </c>
    </row>
    <row r="1514" spans="1:3" x14ac:dyDescent="0.25">
      <c r="A1514" s="8">
        <v>6798541</v>
      </c>
      <c r="B1514" s="9" t="s">
        <v>192</v>
      </c>
      <c r="C1514" s="8" t="s">
        <v>26</v>
      </c>
    </row>
    <row r="1515" spans="1:3" x14ac:dyDescent="0.25">
      <c r="A1515" s="8">
        <v>6799027</v>
      </c>
      <c r="B1515" s="9" t="s">
        <v>1688</v>
      </c>
      <c r="C1515" s="8" t="s">
        <v>31</v>
      </c>
    </row>
    <row r="1516" spans="1:3" x14ac:dyDescent="0.25">
      <c r="A1516" s="8">
        <v>6799028</v>
      </c>
      <c r="B1516" s="9" t="s">
        <v>1689</v>
      </c>
      <c r="C1516" s="8" t="s">
        <v>31</v>
      </c>
    </row>
    <row r="1517" spans="1:3" x14ac:dyDescent="0.25">
      <c r="A1517" s="8">
        <v>6799030</v>
      </c>
      <c r="B1517" s="9" t="s">
        <v>1690</v>
      </c>
      <c r="C1517" s="8" t="s">
        <v>28</v>
      </c>
    </row>
    <row r="1518" spans="1:3" x14ac:dyDescent="0.25">
      <c r="A1518" s="8">
        <v>6799031</v>
      </c>
      <c r="B1518" s="9" t="s">
        <v>1691</v>
      </c>
      <c r="C1518" s="8" t="s">
        <v>26</v>
      </c>
    </row>
    <row r="1519" spans="1:3" x14ac:dyDescent="0.25">
      <c r="A1519" s="8">
        <v>6799065</v>
      </c>
      <c r="B1519" s="9" t="s">
        <v>1692</v>
      </c>
      <c r="C1519" s="8" t="s">
        <v>30</v>
      </c>
    </row>
    <row r="1520" spans="1:3" x14ac:dyDescent="0.25">
      <c r="A1520" s="8">
        <v>6799307</v>
      </c>
      <c r="B1520" s="9" t="s">
        <v>1693</v>
      </c>
      <c r="C1520" s="8" t="s">
        <v>26</v>
      </c>
    </row>
    <row r="1521" spans="1:3" x14ac:dyDescent="0.25">
      <c r="A1521" s="8">
        <v>6799309</v>
      </c>
      <c r="B1521" s="9" t="s">
        <v>1694</v>
      </c>
      <c r="C1521" s="8" t="s">
        <v>28</v>
      </c>
    </row>
    <row r="1522" spans="1:3" x14ac:dyDescent="0.25">
      <c r="A1522" s="8">
        <v>6799396</v>
      </c>
      <c r="B1522" s="9" t="s">
        <v>1695</v>
      </c>
      <c r="C1522" s="8" t="s">
        <v>28</v>
      </c>
    </row>
    <row r="1523" spans="1:3" x14ac:dyDescent="0.25">
      <c r="A1523" s="8">
        <v>6799397</v>
      </c>
      <c r="B1523" s="9" t="s">
        <v>1696</v>
      </c>
      <c r="C1523" s="8" t="s">
        <v>28</v>
      </c>
    </row>
    <row r="1524" spans="1:3" x14ac:dyDescent="0.25">
      <c r="A1524" s="8">
        <v>6799446</v>
      </c>
      <c r="B1524" s="9" t="s">
        <v>1697</v>
      </c>
      <c r="C1524" s="8" t="s">
        <v>28</v>
      </c>
    </row>
    <row r="1525" spans="1:3" x14ac:dyDescent="0.25">
      <c r="A1525" s="8">
        <v>6799447</v>
      </c>
      <c r="B1525" s="9" t="s">
        <v>1698</v>
      </c>
      <c r="C1525" s="8" t="s">
        <v>28</v>
      </c>
    </row>
    <row r="1526" spans="1:3" x14ac:dyDescent="0.25">
      <c r="A1526" s="8">
        <v>6799451</v>
      </c>
      <c r="B1526" s="9" t="s">
        <v>1699</v>
      </c>
      <c r="C1526" s="8" t="s">
        <v>28</v>
      </c>
    </row>
    <row r="1527" spans="1:3" x14ac:dyDescent="0.25">
      <c r="A1527" s="8">
        <v>6799452</v>
      </c>
      <c r="B1527" s="9" t="s">
        <v>1700</v>
      </c>
      <c r="C1527" s="8" t="s">
        <v>28</v>
      </c>
    </row>
    <row r="1528" spans="1:3" x14ac:dyDescent="0.25">
      <c r="A1528" s="8">
        <v>6799484</v>
      </c>
      <c r="B1528" s="9" t="s">
        <v>1701</v>
      </c>
      <c r="C1528" s="8" t="s">
        <v>28</v>
      </c>
    </row>
    <row r="1529" spans="1:3" x14ac:dyDescent="0.25">
      <c r="A1529" s="8">
        <v>6799528</v>
      </c>
      <c r="B1529" s="9" t="s">
        <v>1702</v>
      </c>
      <c r="C1529" s="8" t="s">
        <v>28</v>
      </c>
    </row>
    <row r="1530" spans="1:3" x14ac:dyDescent="0.25">
      <c r="A1530" s="8">
        <v>6799529</v>
      </c>
      <c r="B1530" s="9" t="s">
        <v>1703</v>
      </c>
      <c r="C1530" s="8" t="s">
        <v>28</v>
      </c>
    </row>
    <row r="1531" spans="1:3" x14ac:dyDescent="0.25">
      <c r="A1531" s="8">
        <v>6799530</v>
      </c>
      <c r="B1531" s="9" t="s">
        <v>1704</v>
      </c>
      <c r="C1531" s="8" t="s">
        <v>28</v>
      </c>
    </row>
    <row r="1532" spans="1:3" x14ac:dyDescent="0.25">
      <c r="A1532" s="8">
        <v>6799531</v>
      </c>
      <c r="B1532" s="9" t="s">
        <v>1705</v>
      </c>
      <c r="C1532" s="8" t="s">
        <v>28</v>
      </c>
    </row>
    <row r="1533" spans="1:3" x14ac:dyDescent="0.25">
      <c r="A1533" s="8">
        <v>6799866</v>
      </c>
      <c r="B1533" s="9" t="s">
        <v>1706</v>
      </c>
      <c r="C1533" s="8" t="s">
        <v>27</v>
      </c>
    </row>
    <row r="1534" spans="1:3" x14ac:dyDescent="0.25">
      <c r="A1534" s="8">
        <v>6799951</v>
      </c>
      <c r="B1534" s="9" t="s">
        <v>1707</v>
      </c>
      <c r="C1534" s="8" t="s">
        <v>27</v>
      </c>
    </row>
    <row r="1535" spans="1:3" x14ac:dyDescent="0.25">
      <c r="A1535" s="8">
        <v>6800002</v>
      </c>
      <c r="B1535" s="9" t="s">
        <v>1708</v>
      </c>
      <c r="C1535" s="8" t="s">
        <v>27</v>
      </c>
    </row>
    <row r="1536" spans="1:3" x14ac:dyDescent="0.25">
      <c r="A1536" s="8">
        <v>6800047</v>
      </c>
      <c r="B1536" s="9" t="s">
        <v>1709</v>
      </c>
      <c r="C1536" s="8" t="s">
        <v>28</v>
      </c>
    </row>
    <row r="1537" spans="1:3" x14ac:dyDescent="0.25">
      <c r="A1537" s="8">
        <v>6800126</v>
      </c>
      <c r="B1537" s="9" t="s">
        <v>1710</v>
      </c>
      <c r="C1537" s="8" t="s">
        <v>26</v>
      </c>
    </row>
    <row r="1538" spans="1:3" x14ac:dyDescent="0.25">
      <c r="A1538" s="8">
        <v>6800576</v>
      </c>
      <c r="B1538" s="9" t="s">
        <v>1617</v>
      </c>
      <c r="C1538" s="8" t="s">
        <v>28</v>
      </c>
    </row>
    <row r="1539" spans="1:3" x14ac:dyDescent="0.25">
      <c r="A1539" s="8">
        <v>6800577</v>
      </c>
      <c r="B1539" s="9" t="s">
        <v>1711</v>
      </c>
      <c r="C1539" s="8" t="s">
        <v>28</v>
      </c>
    </row>
    <row r="1540" spans="1:3" x14ac:dyDescent="0.25">
      <c r="A1540" s="8">
        <v>6800578</v>
      </c>
      <c r="B1540" s="9" t="s">
        <v>1712</v>
      </c>
      <c r="C1540" s="8" t="s">
        <v>28</v>
      </c>
    </row>
    <row r="1541" spans="1:3" x14ac:dyDescent="0.25">
      <c r="A1541" s="8">
        <v>6800635</v>
      </c>
      <c r="B1541" s="9" t="s">
        <v>1713</v>
      </c>
      <c r="C1541" s="8" t="s">
        <v>28</v>
      </c>
    </row>
    <row r="1542" spans="1:3" x14ac:dyDescent="0.25">
      <c r="A1542" s="8">
        <v>6800636</v>
      </c>
      <c r="B1542" s="9" t="s">
        <v>1714</v>
      </c>
      <c r="C1542" s="8" t="s">
        <v>28</v>
      </c>
    </row>
    <row r="1543" spans="1:3" x14ac:dyDescent="0.25">
      <c r="A1543" s="8">
        <v>6800637</v>
      </c>
      <c r="B1543" s="9" t="s">
        <v>1715</v>
      </c>
      <c r="C1543" s="8" t="s">
        <v>28</v>
      </c>
    </row>
    <row r="1544" spans="1:3" x14ac:dyDescent="0.25">
      <c r="A1544" s="8">
        <v>6800638</v>
      </c>
      <c r="B1544" s="9" t="s">
        <v>218</v>
      </c>
      <c r="C1544" s="8" t="s">
        <v>26</v>
      </c>
    </row>
    <row r="1545" spans="1:3" x14ac:dyDescent="0.25">
      <c r="A1545" s="8">
        <v>6800640</v>
      </c>
      <c r="B1545" s="9" t="s">
        <v>1716</v>
      </c>
      <c r="C1545" s="8" t="s">
        <v>28</v>
      </c>
    </row>
    <row r="1546" spans="1:3" x14ac:dyDescent="0.25">
      <c r="A1546" s="8">
        <v>6801352</v>
      </c>
      <c r="B1546" s="9" t="s">
        <v>1717</v>
      </c>
      <c r="C1546" s="8" t="s">
        <v>28</v>
      </c>
    </row>
    <row r="1547" spans="1:3" x14ac:dyDescent="0.25">
      <c r="A1547" s="8">
        <v>6801354</v>
      </c>
      <c r="B1547" s="9" t="s">
        <v>1718</v>
      </c>
      <c r="C1547" s="8" t="s">
        <v>26</v>
      </c>
    </row>
    <row r="1548" spans="1:3" x14ac:dyDescent="0.25">
      <c r="A1548" s="8">
        <v>6801355</v>
      </c>
      <c r="B1548" s="9" t="s">
        <v>1719</v>
      </c>
      <c r="C1548" s="8" t="s">
        <v>28</v>
      </c>
    </row>
    <row r="1549" spans="1:3" x14ac:dyDescent="0.25">
      <c r="A1549" s="8">
        <v>6801740</v>
      </c>
      <c r="B1549" s="9" t="s">
        <v>1720</v>
      </c>
      <c r="C1549" s="8" t="s">
        <v>26</v>
      </c>
    </row>
    <row r="1550" spans="1:3" x14ac:dyDescent="0.25">
      <c r="A1550" s="8">
        <v>6801742</v>
      </c>
      <c r="B1550" s="9" t="s">
        <v>1721</v>
      </c>
      <c r="C1550" s="8" t="s">
        <v>26</v>
      </c>
    </row>
    <row r="1551" spans="1:3" x14ac:dyDescent="0.25">
      <c r="A1551" s="8">
        <v>6801744</v>
      </c>
      <c r="B1551" s="9" t="s">
        <v>1722</v>
      </c>
      <c r="C1551" s="8" t="s">
        <v>26</v>
      </c>
    </row>
    <row r="1552" spans="1:3" x14ac:dyDescent="0.25">
      <c r="A1552" s="8">
        <v>6801745</v>
      </c>
      <c r="B1552" s="9" t="s">
        <v>1723</v>
      </c>
      <c r="C1552" s="8" t="s">
        <v>26</v>
      </c>
    </row>
    <row r="1553" spans="1:3" x14ac:dyDescent="0.25">
      <c r="A1553" s="8">
        <v>6801934</v>
      </c>
      <c r="B1553" s="9" t="s">
        <v>1724</v>
      </c>
      <c r="C1553" s="8" t="s">
        <v>28</v>
      </c>
    </row>
    <row r="1554" spans="1:3" x14ac:dyDescent="0.25">
      <c r="A1554" s="8">
        <v>6801935</v>
      </c>
      <c r="B1554" s="9" t="s">
        <v>1724</v>
      </c>
      <c r="C1554" s="8" t="s">
        <v>28</v>
      </c>
    </row>
    <row r="1555" spans="1:3" x14ac:dyDescent="0.25">
      <c r="A1555" s="8">
        <v>6801937</v>
      </c>
      <c r="B1555" s="9" t="s">
        <v>940</v>
      </c>
      <c r="C1555" s="8" t="s">
        <v>28</v>
      </c>
    </row>
    <row r="1556" spans="1:3" x14ac:dyDescent="0.25">
      <c r="A1556" s="8">
        <v>6801938</v>
      </c>
      <c r="B1556" s="9" t="s">
        <v>941</v>
      </c>
      <c r="C1556" s="8" t="s">
        <v>28</v>
      </c>
    </row>
    <row r="1557" spans="1:3" x14ac:dyDescent="0.25">
      <c r="A1557" s="8">
        <v>6802049</v>
      </c>
      <c r="B1557" s="9" t="s">
        <v>1725</v>
      </c>
      <c r="C1557" s="8" t="s">
        <v>28</v>
      </c>
    </row>
    <row r="1558" spans="1:3" x14ac:dyDescent="0.25">
      <c r="A1558" s="8">
        <v>6802210</v>
      </c>
      <c r="B1558" s="9" t="s">
        <v>941</v>
      </c>
      <c r="C1558" s="8" t="s">
        <v>28</v>
      </c>
    </row>
    <row r="1559" spans="1:3" x14ac:dyDescent="0.25">
      <c r="A1559" s="8">
        <v>6802522</v>
      </c>
      <c r="B1559" s="9" t="s">
        <v>1726</v>
      </c>
      <c r="C1559" s="8" t="s">
        <v>28</v>
      </c>
    </row>
    <row r="1560" spans="1:3" x14ac:dyDescent="0.25">
      <c r="A1560" s="8">
        <v>6802563</v>
      </c>
      <c r="B1560" s="9" t="s">
        <v>77</v>
      </c>
      <c r="C1560" s="8" t="s">
        <v>26</v>
      </c>
    </row>
    <row r="1561" spans="1:3" x14ac:dyDescent="0.25">
      <c r="A1561" s="8">
        <v>6802568</v>
      </c>
      <c r="B1561" s="9" t="s">
        <v>1727</v>
      </c>
      <c r="C1561" s="8" t="s">
        <v>26</v>
      </c>
    </row>
    <row r="1562" spans="1:3" x14ac:dyDescent="0.25">
      <c r="A1562" s="8">
        <v>6802682</v>
      </c>
      <c r="B1562" s="9" t="s">
        <v>1728</v>
      </c>
      <c r="C1562" s="8" t="s">
        <v>26</v>
      </c>
    </row>
    <row r="1563" spans="1:3" x14ac:dyDescent="0.25">
      <c r="A1563" s="8">
        <v>6802689</v>
      </c>
      <c r="B1563" s="9" t="s">
        <v>1729</v>
      </c>
      <c r="C1563" s="8" t="s">
        <v>28</v>
      </c>
    </row>
    <row r="1564" spans="1:3" x14ac:dyDescent="0.25">
      <c r="A1564" s="8">
        <v>6802841</v>
      </c>
      <c r="B1564" s="9" t="s">
        <v>1730</v>
      </c>
      <c r="C1564" s="8" t="s">
        <v>28</v>
      </c>
    </row>
    <row r="1565" spans="1:3" x14ac:dyDescent="0.25">
      <c r="A1565" s="8">
        <v>6802843</v>
      </c>
      <c r="B1565" s="9" t="s">
        <v>1731</v>
      </c>
      <c r="C1565" s="8" t="s">
        <v>27</v>
      </c>
    </row>
    <row r="1566" spans="1:3" x14ac:dyDescent="0.25">
      <c r="A1566" s="8">
        <v>6802944</v>
      </c>
      <c r="B1566" s="9" t="s">
        <v>1732</v>
      </c>
      <c r="C1566" s="8" t="s">
        <v>28</v>
      </c>
    </row>
    <row r="1567" spans="1:3" x14ac:dyDescent="0.25">
      <c r="A1567" s="8">
        <v>6802945</v>
      </c>
      <c r="B1567" s="9" t="s">
        <v>1733</v>
      </c>
      <c r="C1567" s="8" t="s">
        <v>28</v>
      </c>
    </row>
    <row r="1568" spans="1:3" x14ac:dyDescent="0.25">
      <c r="A1568" s="8">
        <v>6802946</v>
      </c>
      <c r="B1568" s="9" t="s">
        <v>1734</v>
      </c>
      <c r="C1568" s="8" t="s">
        <v>28</v>
      </c>
    </row>
    <row r="1569" spans="1:3" x14ac:dyDescent="0.25">
      <c r="A1569" s="8">
        <v>6803002</v>
      </c>
      <c r="B1569" s="9" t="s">
        <v>1735</v>
      </c>
      <c r="C1569" s="8" t="s">
        <v>28</v>
      </c>
    </row>
    <row r="1570" spans="1:3" x14ac:dyDescent="0.25">
      <c r="A1570" s="8">
        <v>6803003</v>
      </c>
      <c r="B1570" s="9" t="s">
        <v>1736</v>
      </c>
      <c r="C1570" s="8" t="s">
        <v>28</v>
      </c>
    </row>
    <row r="1571" spans="1:3" x14ac:dyDescent="0.25">
      <c r="A1571" s="8">
        <v>6803271</v>
      </c>
      <c r="B1571" s="9" t="s">
        <v>1737</v>
      </c>
      <c r="C1571" s="8" t="s">
        <v>28</v>
      </c>
    </row>
    <row r="1572" spans="1:3" x14ac:dyDescent="0.25">
      <c r="A1572" s="8">
        <v>6803273</v>
      </c>
      <c r="B1572" s="9" t="s">
        <v>1738</v>
      </c>
      <c r="C1572" s="8" t="s">
        <v>28</v>
      </c>
    </row>
    <row r="1573" spans="1:3" x14ac:dyDescent="0.25">
      <c r="A1573" s="8">
        <v>6803278</v>
      </c>
      <c r="B1573" s="9" t="s">
        <v>1739</v>
      </c>
      <c r="C1573" s="8" t="s">
        <v>27</v>
      </c>
    </row>
    <row r="1574" spans="1:3" x14ac:dyDescent="0.25">
      <c r="A1574" s="8">
        <v>6803332</v>
      </c>
      <c r="B1574" s="9" t="s">
        <v>1740</v>
      </c>
      <c r="C1574" s="8" t="s">
        <v>28</v>
      </c>
    </row>
    <row r="1575" spans="1:3" x14ac:dyDescent="0.25">
      <c r="A1575" s="8">
        <v>6803333</v>
      </c>
      <c r="B1575" s="9" t="s">
        <v>1741</v>
      </c>
      <c r="C1575" s="8" t="s">
        <v>28</v>
      </c>
    </row>
    <row r="1576" spans="1:3" x14ac:dyDescent="0.25">
      <c r="A1576" s="8">
        <v>6803414</v>
      </c>
      <c r="B1576" s="9" t="s">
        <v>181</v>
      </c>
      <c r="C1576" s="8" t="s">
        <v>28</v>
      </c>
    </row>
    <row r="1577" spans="1:3" x14ac:dyDescent="0.25">
      <c r="A1577" s="8">
        <v>6803473</v>
      </c>
      <c r="B1577" s="9" t="s">
        <v>1742</v>
      </c>
      <c r="C1577" s="8" t="s">
        <v>28</v>
      </c>
    </row>
    <row r="1578" spans="1:3" x14ac:dyDescent="0.25">
      <c r="A1578" s="8">
        <v>6803476</v>
      </c>
      <c r="B1578" s="9" t="s">
        <v>1743</v>
      </c>
      <c r="C1578" s="8" t="s">
        <v>28</v>
      </c>
    </row>
    <row r="1579" spans="1:3" x14ac:dyDescent="0.25">
      <c r="A1579" s="8">
        <v>6803478</v>
      </c>
      <c r="B1579" s="9" t="s">
        <v>78</v>
      </c>
      <c r="C1579" s="8" t="s">
        <v>30</v>
      </c>
    </row>
    <row r="1580" spans="1:3" x14ac:dyDescent="0.25">
      <c r="A1580" s="8">
        <v>6803550</v>
      </c>
      <c r="B1580" s="9" t="s">
        <v>1744</v>
      </c>
      <c r="C1580" s="8" t="s">
        <v>28</v>
      </c>
    </row>
    <row r="1581" spans="1:3" x14ac:dyDescent="0.25">
      <c r="A1581" s="8">
        <v>6803670</v>
      </c>
      <c r="B1581" s="9" t="s">
        <v>1745</v>
      </c>
      <c r="C1581" s="8" t="s">
        <v>28</v>
      </c>
    </row>
    <row r="1582" spans="1:3" x14ac:dyDescent="0.25">
      <c r="A1582" s="8">
        <v>6803671</v>
      </c>
      <c r="B1582" s="9" t="s">
        <v>1746</v>
      </c>
      <c r="C1582" s="8" t="s">
        <v>28</v>
      </c>
    </row>
    <row r="1583" spans="1:3" x14ac:dyDescent="0.25">
      <c r="A1583" s="8">
        <v>6803672</v>
      </c>
      <c r="B1583" s="9" t="s">
        <v>1747</v>
      </c>
      <c r="C1583" s="8" t="s">
        <v>28</v>
      </c>
    </row>
    <row r="1584" spans="1:3" x14ac:dyDescent="0.25">
      <c r="A1584" s="8">
        <v>6803677</v>
      </c>
      <c r="B1584" s="9" t="s">
        <v>1748</v>
      </c>
      <c r="C1584" s="8" t="s">
        <v>28</v>
      </c>
    </row>
    <row r="1585" spans="1:3" x14ac:dyDescent="0.25">
      <c r="A1585" s="8">
        <v>6803678</v>
      </c>
      <c r="B1585" s="9" t="s">
        <v>1749</v>
      </c>
      <c r="C1585" s="8" t="s">
        <v>28</v>
      </c>
    </row>
    <row r="1586" spans="1:3" x14ac:dyDescent="0.25">
      <c r="A1586" s="8">
        <v>6804303</v>
      </c>
      <c r="B1586" s="9" t="s">
        <v>1750</v>
      </c>
      <c r="C1586" s="8" t="s">
        <v>28</v>
      </c>
    </row>
    <row r="1587" spans="1:3" x14ac:dyDescent="0.25">
      <c r="A1587" s="8">
        <v>6805397</v>
      </c>
      <c r="B1587" s="9" t="s">
        <v>201</v>
      </c>
      <c r="C1587" s="8" t="s">
        <v>28</v>
      </c>
    </row>
    <row r="1588" spans="1:3" x14ac:dyDescent="0.25">
      <c r="A1588" s="8">
        <v>6805399</v>
      </c>
      <c r="B1588" s="9" t="s">
        <v>1751</v>
      </c>
      <c r="C1588" s="8" t="s">
        <v>28</v>
      </c>
    </row>
    <row r="1589" spans="1:3" x14ac:dyDescent="0.25">
      <c r="A1589" s="8">
        <v>6805414</v>
      </c>
      <c r="B1589" s="9" t="s">
        <v>1752</v>
      </c>
      <c r="C1589" s="8" t="s">
        <v>28</v>
      </c>
    </row>
    <row r="1590" spans="1:3" x14ac:dyDescent="0.25">
      <c r="A1590" s="8">
        <v>6805415</v>
      </c>
      <c r="B1590" s="9" t="s">
        <v>1753</v>
      </c>
      <c r="C1590" s="8" t="s">
        <v>28</v>
      </c>
    </row>
    <row r="1591" spans="1:3" x14ac:dyDescent="0.25">
      <c r="A1591" s="8">
        <v>6805440</v>
      </c>
      <c r="B1591" s="9" t="s">
        <v>1754</v>
      </c>
      <c r="C1591" s="8" t="s">
        <v>26</v>
      </c>
    </row>
    <row r="1592" spans="1:3" x14ac:dyDescent="0.25">
      <c r="A1592" s="8">
        <v>6805441</v>
      </c>
      <c r="B1592" s="9" t="s">
        <v>1755</v>
      </c>
      <c r="C1592" s="8" t="s">
        <v>26</v>
      </c>
    </row>
    <row r="1593" spans="1:3" x14ac:dyDescent="0.25">
      <c r="A1593" s="8">
        <v>6805444</v>
      </c>
      <c r="B1593" s="9" t="s">
        <v>1756</v>
      </c>
      <c r="C1593" s="8" t="s">
        <v>28</v>
      </c>
    </row>
    <row r="1594" spans="1:3" x14ac:dyDescent="0.25">
      <c r="A1594" s="8">
        <v>6805446</v>
      </c>
      <c r="B1594" s="9" t="s">
        <v>213</v>
      </c>
      <c r="C1594" s="8" t="s">
        <v>28</v>
      </c>
    </row>
    <row r="1595" spans="1:3" x14ac:dyDescent="0.25">
      <c r="A1595" s="8">
        <v>6805447</v>
      </c>
      <c r="B1595" s="9" t="s">
        <v>1757</v>
      </c>
      <c r="C1595" s="8" t="s">
        <v>28</v>
      </c>
    </row>
    <row r="1596" spans="1:3" x14ac:dyDescent="0.25">
      <c r="A1596" s="8">
        <v>6805448</v>
      </c>
      <c r="B1596" s="9" t="s">
        <v>1758</v>
      </c>
      <c r="C1596" s="8" t="s">
        <v>28</v>
      </c>
    </row>
    <row r="1597" spans="1:3" x14ac:dyDescent="0.25">
      <c r="A1597" s="8">
        <v>6805449</v>
      </c>
      <c r="B1597" s="9" t="s">
        <v>307</v>
      </c>
      <c r="C1597" s="8" t="s">
        <v>28</v>
      </c>
    </row>
    <row r="1598" spans="1:3" x14ac:dyDescent="0.25">
      <c r="A1598" s="8">
        <v>6805450</v>
      </c>
      <c r="B1598" s="9" t="s">
        <v>1759</v>
      </c>
      <c r="C1598" s="8" t="s">
        <v>28</v>
      </c>
    </row>
    <row r="1599" spans="1:3" x14ac:dyDescent="0.25">
      <c r="A1599" s="8">
        <v>6805451</v>
      </c>
      <c r="B1599" s="9" t="s">
        <v>1760</v>
      </c>
      <c r="C1599" s="8" t="s">
        <v>28</v>
      </c>
    </row>
    <row r="1600" spans="1:3" x14ac:dyDescent="0.25">
      <c r="A1600" s="8">
        <v>6805452</v>
      </c>
      <c r="B1600" s="9" t="s">
        <v>1761</v>
      </c>
      <c r="C1600" s="8" t="s">
        <v>28</v>
      </c>
    </row>
    <row r="1601" spans="1:3" x14ac:dyDescent="0.25">
      <c r="A1601" s="8">
        <v>6805453</v>
      </c>
      <c r="B1601" s="9" t="s">
        <v>1762</v>
      </c>
      <c r="C1601" s="8" t="s">
        <v>28</v>
      </c>
    </row>
    <row r="1602" spans="1:3" x14ac:dyDescent="0.25">
      <c r="A1602" s="8">
        <v>6805456</v>
      </c>
      <c r="B1602" s="9" t="s">
        <v>208</v>
      </c>
      <c r="C1602" s="8" t="s">
        <v>28</v>
      </c>
    </row>
    <row r="1603" spans="1:3" x14ac:dyDescent="0.25">
      <c r="A1603" s="8">
        <v>6805463</v>
      </c>
      <c r="B1603" s="9" t="s">
        <v>1752</v>
      </c>
      <c r="C1603" s="8" t="s">
        <v>28</v>
      </c>
    </row>
    <row r="1604" spans="1:3" x14ac:dyDescent="0.25">
      <c r="A1604" s="8">
        <v>6805464</v>
      </c>
      <c r="B1604" s="9" t="s">
        <v>1753</v>
      </c>
      <c r="C1604" s="8" t="s">
        <v>28</v>
      </c>
    </row>
    <row r="1605" spans="1:3" x14ac:dyDescent="0.25">
      <c r="A1605" s="8">
        <v>6805465</v>
      </c>
      <c r="B1605" s="9" t="s">
        <v>1763</v>
      </c>
      <c r="C1605" s="8" t="s">
        <v>28</v>
      </c>
    </row>
    <row r="1606" spans="1:3" x14ac:dyDescent="0.25">
      <c r="A1606" s="8">
        <v>6805508</v>
      </c>
      <c r="B1606" s="9" t="s">
        <v>1764</v>
      </c>
      <c r="C1606" s="8" t="s">
        <v>28</v>
      </c>
    </row>
    <row r="1607" spans="1:3" x14ac:dyDescent="0.25">
      <c r="A1607" s="8">
        <v>6806196</v>
      </c>
      <c r="B1607" s="9" t="s">
        <v>1765</v>
      </c>
      <c r="C1607" s="8" t="s">
        <v>27</v>
      </c>
    </row>
    <row r="1608" spans="1:3" x14ac:dyDescent="0.25">
      <c r="A1608" s="8">
        <v>6806197</v>
      </c>
      <c r="B1608" s="9" t="s">
        <v>1766</v>
      </c>
      <c r="C1608" s="8" t="s">
        <v>27</v>
      </c>
    </row>
    <row r="1609" spans="1:3" x14ac:dyDescent="0.25">
      <c r="A1609" s="8">
        <v>6806198</v>
      </c>
      <c r="B1609" s="9" t="s">
        <v>1767</v>
      </c>
      <c r="C1609" s="8" t="s">
        <v>27</v>
      </c>
    </row>
    <row r="1610" spans="1:3" x14ac:dyDescent="0.25">
      <c r="A1610" s="8">
        <v>6806303</v>
      </c>
      <c r="B1610" s="9" t="s">
        <v>1768</v>
      </c>
      <c r="C1610" s="8" t="s">
        <v>28</v>
      </c>
    </row>
    <row r="1611" spans="1:3" x14ac:dyDescent="0.25">
      <c r="A1611" s="8">
        <v>6806411</v>
      </c>
      <c r="B1611" s="9" t="s">
        <v>1769</v>
      </c>
      <c r="C1611" s="8" t="s">
        <v>28</v>
      </c>
    </row>
    <row r="1612" spans="1:3" x14ac:dyDescent="0.25">
      <c r="A1612" s="8">
        <v>6806423</v>
      </c>
      <c r="B1612" s="9" t="s">
        <v>1770</v>
      </c>
      <c r="C1612" s="8" t="s">
        <v>28</v>
      </c>
    </row>
    <row r="1613" spans="1:3" x14ac:dyDescent="0.25">
      <c r="A1613" s="8">
        <v>6806500</v>
      </c>
      <c r="B1613" s="9" t="s">
        <v>1771</v>
      </c>
      <c r="C1613" s="8" t="s">
        <v>26</v>
      </c>
    </row>
    <row r="1614" spans="1:3" x14ac:dyDescent="0.25">
      <c r="A1614" s="8">
        <v>6806501</v>
      </c>
      <c r="B1614" s="9" t="s">
        <v>1772</v>
      </c>
      <c r="C1614" s="8" t="s">
        <v>26</v>
      </c>
    </row>
    <row r="1615" spans="1:3" x14ac:dyDescent="0.25">
      <c r="A1615" s="8">
        <v>6806693</v>
      </c>
      <c r="B1615" s="9" t="s">
        <v>1773</v>
      </c>
      <c r="C1615" s="8" t="s">
        <v>28</v>
      </c>
    </row>
    <row r="1616" spans="1:3" x14ac:dyDescent="0.25">
      <c r="A1616" s="8">
        <v>6806694</v>
      </c>
      <c r="B1616" s="9" t="s">
        <v>1774</v>
      </c>
      <c r="C1616" s="8" t="s">
        <v>28</v>
      </c>
    </row>
    <row r="1617" spans="1:3" x14ac:dyDescent="0.25">
      <c r="A1617" s="8">
        <v>6806695</v>
      </c>
      <c r="B1617" s="9" t="s">
        <v>1775</v>
      </c>
      <c r="C1617" s="8" t="s">
        <v>28</v>
      </c>
    </row>
    <row r="1618" spans="1:3" x14ac:dyDescent="0.25">
      <c r="A1618" s="8">
        <v>6806696</v>
      </c>
      <c r="B1618" s="9" t="s">
        <v>79</v>
      </c>
      <c r="C1618" s="8" t="s">
        <v>28</v>
      </c>
    </row>
    <row r="1619" spans="1:3" x14ac:dyDescent="0.25">
      <c r="A1619" s="8">
        <v>6806697</v>
      </c>
      <c r="B1619" s="9" t="s">
        <v>1776</v>
      </c>
      <c r="C1619" s="8" t="s">
        <v>28</v>
      </c>
    </row>
    <row r="1620" spans="1:3" x14ac:dyDescent="0.25">
      <c r="A1620" s="8">
        <v>6806698</v>
      </c>
      <c r="B1620" s="9" t="s">
        <v>1777</v>
      </c>
      <c r="C1620" s="8" t="s">
        <v>28</v>
      </c>
    </row>
    <row r="1621" spans="1:3" x14ac:dyDescent="0.25">
      <c r="A1621" s="8">
        <v>6806704</v>
      </c>
      <c r="B1621" s="9" t="s">
        <v>1778</v>
      </c>
      <c r="C1621" s="8" t="s">
        <v>26</v>
      </c>
    </row>
    <row r="1622" spans="1:3" x14ac:dyDescent="0.25">
      <c r="A1622" s="8">
        <v>6806714</v>
      </c>
      <c r="B1622" s="9" t="s">
        <v>1779</v>
      </c>
      <c r="C1622" s="8" t="s">
        <v>28</v>
      </c>
    </row>
    <row r="1623" spans="1:3" x14ac:dyDescent="0.25">
      <c r="A1623" s="8">
        <v>6807037</v>
      </c>
      <c r="B1623" s="9" t="s">
        <v>1780</v>
      </c>
      <c r="C1623" s="8" t="s">
        <v>26</v>
      </c>
    </row>
    <row r="1624" spans="1:3" x14ac:dyDescent="0.25">
      <c r="A1624" s="8">
        <v>6807038</v>
      </c>
      <c r="B1624" s="9" t="s">
        <v>1781</v>
      </c>
      <c r="C1624" s="8" t="s">
        <v>26</v>
      </c>
    </row>
    <row r="1625" spans="1:3" x14ac:dyDescent="0.25">
      <c r="A1625" s="8">
        <v>6807040</v>
      </c>
      <c r="B1625" s="9" t="s">
        <v>186</v>
      </c>
      <c r="C1625" s="8" t="s">
        <v>26</v>
      </c>
    </row>
    <row r="1626" spans="1:3" x14ac:dyDescent="0.25">
      <c r="A1626" s="8">
        <v>6807050</v>
      </c>
      <c r="B1626" s="9" t="s">
        <v>184</v>
      </c>
      <c r="C1626" s="8" t="s">
        <v>26</v>
      </c>
    </row>
    <row r="1627" spans="1:3" x14ac:dyDescent="0.25">
      <c r="A1627" s="8">
        <v>6807053</v>
      </c>
      <c r="B1627" s="9" t="s">
        <v>190</v>
      </c>
      <c r="C1627" s="8" t="s">
        <v>28</v>
      </c>
    </row>
    <row r="1628" spans="1:3" x14ac:dyDescent="0.25">
      <c r="A1628" s="8">
        <v>6807056</v>
      </c>
      <c r="B1628" s="9" t="s">
        <v>1782</v>
      </c>
      <c r="C1628" s="8" t="s">
        <v>26</v>
      </c>
    </row>
    <row r="1629" spans="1:3" x14ac:dyDescent="0.25">
      <c r="A1629" s="8">
        <v>6807072</v>
      </c>
      <c r="B1629" s="9" t="s">
        <v>1783</v>
      </c>
      <c r="C1629" s="8" t="s">
        <v>26</v>
      </c>
    </row>
    <row r="1630" spans="1:3" x14ac:dyDescent="0.25">
      <c r="A1630" s="8">
        <v>6807073</v>
      </c>
      <c r="B1630" s="9" t="s">
        <v>1780</v>
      </c>
      <c r="C1630" s="8" t="s">
        <v>26</v>
      </c>
    </row>
    <row r="1631" spans="1:3" x14ac:dyDescent="0.25">
      <c r="A1631" s="8">
        <v>6807077</v>
      </c>
      <c r="B1631" s="9" t="s">
        <v>188</v>
      </c>
      <c r="C1631" s="8" t="s">
        <v>31</v>
      </c>
    </row>
    <row r="1632" spans="1:3" x14ac:dyDescent="0.25">
      <c r="A1632" s="8">
        <v>6807144</v>
      </c>
      <c r="B1632" s="9" t="s">
        <v>1784</v>
      </c>
      <c r="C1632" s="8" t="s">
        <v>28</v>
      </c>
    </row>
    <row r="1633" spans="1:3" x14ac:dyDescent="0.25">
      <c r="A1633" s="8">
        <v>6807290</v>
      </c>
      <c r="B1633" s="9" t="s">
        <v>1785</v>
      </c>
      <c r="C1633" s="8" t="s">
        <v>28</v>
      </c>
    </row>
    <row r="1634" spans="1:3" x14ac:dyDescent="0.25">
      <c r="A1634" s="8">
        <v>6807392</v>
      </c>
      <c r="B1634" s="9" t="s">
        <v>1786</v>
      </c>
      <c r="C1634" s="8" t="s">
        <v>26</v>
      </c>
    </row>
    <row r="1635" spans="1:3" x14ac:dyDescent="0.25">
      <c r="A1635" s="8">
        <v>6807432</v>
      </c>
      <c r="B1635" s="9" t="s">
        <v>1787</v>
      </c>
      <c r="C1635" s="8" t="s">
        <v>28</v>
      </c>
    </row>
    <row r="1636" spans="1:3" x14ac:dyDescent="0.25">
      <c r="A1636" s="8">
        <v>6807898</v>
      </c>
      <c r="B1636" s="9" t="s">
        <v>1788</v>
      </c>
      <c r="C1636" s="8" t="s">
        <v>28</v>
      </c>
    </row>
    <row r="1637" spans="1:3" x14ac:dyDescent="0.25">
      <c r="A1637" s="8">
        <v>6807899</v>
      </c>
      <c r="B1637" s="9" t="s">
        <v>1789</v>
      </c>
      <c r="C1637" s="8" t="s">
        <v>28</v>
      </c>
    </row>
    <row r="1638" spans="1:3" x14ac:dyDescent="0.25">
      <c r="A1638" s="8">
        <v>6807940</v>
      </c>
      <c r="B1638" s="9" t="s">
        <v>1790</v>
      </c>
      <c r="C1638" s="8" t="s">
        <v>28</v>
      </c>
    </row>
    <row r="1639" spans="1:3" x14ac:dyDescent="0.25">
      <c r="A1639" s="8">
        <v>6807941</v>
      </c>
      <c r="B1639" s="9" t="s">
        <v>1791</v>
      </c>
      <c r="C1639" s="8" t="s">
        <v>28</v>
      </c>
    </row>
    <row r="1640" spans="1:3" x14ac:dyDescent="0.25">
      <c r="A1640" s="8">
        <v>6807942</v>
      </c>
      <c r="B1640" s="9" t="s">
        <v>1792</v>
      </c>
      <c r="C1640" s="8" t="s">
        <v>28</v>
      </c>
    </row>
    <row r="1641" spans="1:3" x14ac:dyDescent="0.25">
      <c r="A1641" s="8">
        <v>6807957</v>
      </c>
      <c r="B1641" s="9" t="s">
        <v>1793</v>
      </c>
      <c r="C1641" s="8" t="s">
        <v>28</v>
      </c>
    </row>
    <row r="1642" spans="1:3" x14ac:dyDescent="0.25">
      <c r="A1642" s="8">
        <v>6807958</v>
      </c>
      <c r="B1642" s="9" t="s">
        <v>1794</v>
      </c>
      <c r="C1642" s="8" t="s">
        <v>28</v>
      </c>
    </row>
    <row r="1643" spans="1:3" x14ac:dyDescent="0.25">
      <c r="A1643" s="8">
        <v>6807959</v>
      </c>
      <c r="B1643" s="9" t="s">
        <v>1795</v>
      </c>
      <c r="C1643" s="8" t="s">
        <v>28</v>
      </c>
    </row>
    <row r="1644" spans="1:3" x14ac:dyDescent="0.25">
      <c r="A1644" s="8">
        <v>6807960</v>
      </c>
      <c r="B1644" s="9" t="s">
        <v>467</v>
      </c>
      <c r="C1644" s="8" t="s">
        <v>28</v>
      </c>
    </row>
    <row r="1645" spans="1:3" x14ac:dyDescent="0.25">
      <c r="A1645" s="8">
        <v>6807961</v>
      </c>
      <c r="B1645" s="9" t="s">
        <v>466</v>
      </c>
      <c r="C1645" s="8" t="s">
        <v>28</v>
      </c>
    </row>
    <row r="1646" spans="1:3" x14ac:dyDescent="0.25">
      <c r="A1646" s="8">
        <v>6807962</v>
      </c>
      <c r="B1646" s="9" t="s">
        <v>634</v>
      </c>
      <c r="C1646" s="8" t="s">
        <v>28</v>
      </c>
    </row>
    <row r="1647" spans="1:3" x14ac:dyDescent="0.25">
      <c r="A1647" s="8">
        <v>6807963</v>
      </c>
      <c r="B1647" s="9" t="s">
        <v>634</v>
      </c>
      <c r="C1647" s="8" t="s">
        <v>28</v>
      </c>
    </row>
    <row r="1648" spans="1:3" x14ac:dyDescent="0.25">
      <c r="A1648" s="8">
        <v>6807964</v>
      </c>
      <c r="B1648" s="9" t="s">
        <v>634</v>
      </c>
      <c r="C1648" s="8" t="s">
        <v>28</v>
      </c>
    </row>
    <row r="1649" spans="1:3" x14ac:dyDescent="0.25">
      <c r="A1649" s="8">
        <v>6807965</v>
      </c>
      <c r="B1649" s="9" t="s">
        <v>1796</v>
      </c>
      <c r="C1649" s="8" t="s">
        <v>28</v>
      </c>
    </row>
    <row r="1650" spans="1:3" x14ac:dyDescent="0.25">
      <c r="A1650" s="8">
        <v>6807967</v>
      </c>
      <c r="B1650" s="9" t="s">
        <v>1797</v>
      </c>
      <c r="C1650" s="8" t="s">
        <v>28</v>
      </c>
    </row>
    <row r="1651" spans="1:3" x14ac:dyDescent="0.25">
      <c r="A1651" s="8">
        <v>6807968</v>
      </c>
      <c r="B1651" s="9" t="s">
        <v>1798</v>
      </c>
      <c r="C1651" s="8" t="s">
        <v>28</v>
      </c>
    </row>
    <row r="1652" spans="1:3" x14ac:dyDescent="0.25">
      <c r="A1652" s="8">
        <v>6807969</v>
      </c>
      <c r="B1652" s="9" t="s">
        <v>1798</v>
      </c>
      <c r="C1652" s="8" t="s">
        <v>28</v>
      </c>
    </row>
    <row r="1653" spans="1:3" x14ac:dyDescent="0.25">
      <c r="A1653" s="8">
        <v>6808030</v>
      </c>
      <c r="B1653" s="9" t="s">
        <v>1799</v>
      </c>
      <c r="C1653" s="8" t="s">
        <v>26</v>
      </c>
    </row>
    <row r="1654" spans="1:3" x14ac:dyDescent="0.25">
      <c r="A1654" s="8">
        <v>6808031</v>
      </c>
      <c r="B1654" s="9" t="s">
        <v>1800</v>
      </c>
      <c r="C1654" s="8" t="s">
        <v>26</v>
      </c>
    </row>
    <row r="1655" spans="1:3" x14ac:dyDescent="0.25">
      <c r="A1655" s="8">
        <v>6808032</v>
      </c>
      <c r="B1655" s="9" t="s">
        <v>1801</v>
      </c>
      <c r="C1655" s="8" t="s">
        <v>26</v>
      </c>
    </row>
    <row r="1656" spans="1:3" x14ac:dyDescent="0.25">
      <c r="A1656" s="8">
        <v>6808091</v>
      </c>
      <c r="B1656" s="9" t="s">
        <v>1802</v>
      </c>
      <c r="C1656" s="8" t="s">
        <v>31</v>
      </c>
    </row>
    <row r="1657" spans="1:3" x14ac:dyDescent="0.25">
      <c r="A1657" s="8">
        <v>6808222</v>
      </c>
      <c r="B1657" s="9" t="s">
        <v>1803</v>
      </c>
      <c r="C1657" s="8" t="s">
        <v>26</v>
      </c>
    </row>
    <row r="1658" spans="1:3" x14ac:dyDescent="0.25">
      <c r="A1658" s="8">
        <v>6808300</v>
      </c>
      <c r="B1658" s="9" t="s">
        <v>1804</v>
      </c>
      <c r="C1658" s="8" t="s">
        <v>28</v>
      </c>
    </row>
    <row r="1659" spans="1:3" x14ac:dyDescent="0.25">
      <c r="A1659" s="8">
        <v>6808303</v>
      </c>
      <c r="B1659" s="9" t="s">
        <v>206</v>
      </c>
      <c r="C1659" s="8" t="s">
        <v>28</v>
      </c>
    </row>
    <row r="1660" spans="1:3" x14ac:dyDescent="0.25">
      <c r="A1660" s="8">
        <v>6808347</v>
      </c>
      <c r="B1660" s="9" t="s">
        <v>1805</v>
      </c>
      <c r="C1660" s="8" t="s">
        <v>30</v>
      </c>
    </row>
    <row r="1661" spans="1:3" x14ac:dyDescent="0.25">
      <c r="A1661" s="8">
        <v>6808355</v>
      </c>
      <c r="B1661" s="9" t="s">
        <v>1806</v>
      </c>
      <c r="C1661" s="8" t="s">
        <v>28</v>
      </c>
    </row>
    <row r="1662" spans="1:3" x14ac:dyDescent="0.25">
      <c r="A1662" s="8">
        <v>6808357</v>
      </c>
      <c r="B1662" s="9" t="s">
        <v>1807</v>
      </c>
      <c r="C1662" s="8" t="s">
        <v>30</v>
      </c>
    </row>
    <row r="1663" spans="1:3" x14ac:dyDescent="0.25">
      <c r="A1663" s="8">
        <v>6808360</v>
      </c>
      <c r="B1663" s="9" t="s">
        <v>1808</v>
      </c>
      <c r="C1663" s="8" t="s">
        <v>30</v>
      </c>
    </row>
    <row r="1664" spans="1:3" x14ac:dyDescent="0.25">
      <c r="A1664" s="8">
        <v>6808361</v>
      </c>
      <c r="B1664" s="9" t="s">
        <v>1809</v>
      </c>
      <c r="C1664" s="8" t="s">
        <v>27</v>
      </c>
    </row>
    <row r="1665" spans="1:3" x14ac:dyDescent="0.25">
      <c r="A1665" s="8">
        <v>6808396</v>
      </c>
      <c r="B1665" s="9" t="s">
        <v>1810</v>
      </c>
      <c r="C1665" s="8" t="s">
        <v>30</v>
      </c>
    </row>
    <row r="1666" spans="1:3" x14ac:dyDescent="0.25">
      <c r="A1666" s="8">
        <v>6808465</v>
      </c>
      <c r="B1666" s="9" t="s">
        <v>1811</v>
      </c>
      <c r="C1666" s="8" t="s">
        <v>26</v>
      </c>
    </row>
    <row r="1667" spans="1:3" x14ac:dyDescent="0.25">
      <c r="A1667" s="8">
        <v>6808520</v>
      </c>
      <c r="B1667" s="9" t="s">
        <v>1812</v>
      </c>
      <c r="C1667" s="8" t="s">
        <v>28</v>
      </c>
    </row>
    <row r="1668" spans="1:3" x14ac:dyDescent="0.25">
      <c r="A1668" s="8">
        <v>6808521</v>
      </c>
      <c r="B1668" s="9" t="s">
        <v>1813</v>
      </c>
      <c r="C1668" s="8" t="s">
        <v>28</v>
      </c>
    </row>
    <row r="1669" spans="1:3" x14ac:dyDescent="0.25">
      <c r="A1669" s="8">
        <v>6808522</v>
      </c>
      <c r="B1669" s="9" t="s">
        <v>1814</v>
      </c>
      <c r="C1669" s="8" t="s">
        <v>28</v>
      </c>
    </row>
    <row r="1670" spans="1:3" x14ac:dyDescent="0.25">
      <c r="A1670" s="8">
        <v>6808599</v>
      </c>
      <c r="B1670" s="9" t="s">
        <v>1815</v>
      </c>
      <c r="C1670" s="8" t="s">
        <v>28</v>
      </c>
    </row>
    <row r="1671" spans="1:3" x14ac:dyDescent="0.25">
      <c r="A1671" s="8">
        <v>6808620</v>
      </c>
      <c r="B1671" s="9" t="s">
        <v>1816</v>
      </c>
      <c r="C1671" s="8" t="s">
        <v>28</v>
      </c>
    </row>
    <row r="1672" spans="1:3" x14ac:dyDescent="0.25">
      <c r="A1672" s="8">
        <v>6808621</v>
      </c>
      <c r="B1672" s="9" t="s">
        <v>1817</v>
      </c>
      <c r="C1672" s="8" t="s">
        <v>28</v>
      </c>
    </row>
    <row r="1673" spans="1:3" x14ac:dyDescent="0.25">
      <c r="A1673" s="8">
        <v>6808622</v>
      </c>
      <c r="B1673" s="9" t="s">
        <v>185</v>
      </c>
      <c r="C1673" s="8" t="s">
        <v>28</v>
      </c>
    </row>
    <row r="1674" spans="1:3" x14ac:dyDescent="0.25">
      <c r="A1674" s="8">
        <v>6808629</v>
      </c>
      <c r="B1674" s="9" t="s">
        <v>1818</v>
      </c>
      <c r="C1674" s="8" t="s">
        <v>28</v>
      </c>
    </row>
    <row r="1675" spans="1:3" x14ac:dyDescent="0.25">
      <c r="A1675" s="8">
        <v>6808631</v>
      </c>
      <c r="B1675" s="9" t="s">
        <v>177</v>
      </c>
      <c r="C1675" s="8" t="s">
        <v>28</v>
      </c>
    </row>
    <row r="1676" spans="1:3" x14ac:dyDescent="0.25">
      <c r="A1676" s="8">
        <v>6808632</v>
      </c>
      <c r="B1676" s="9" t="s">
        <v>1819</v>
      </c>
      <c r="C1676" s="8" t="s">
        <v>28</v>
      </c>
    </row>
    <row r="1677" spans="1:3" x14ac:dyDescent="0.25">
      <c r="A1677" s="8">
        <v>6808633</v>
      </c>
      <c r="B1677" s="9" t="s">
        <v>1820</v>
      </c>
      <c r="C1677" s="8" t="s">
        <v>28</v>
      </c>
    </row>
    <row r="1678" spans="1:3" x14ac:dyDescent="0.25">
      <c r="A1678" s="8">
        <v>6808649</v>
      </c>
      <c r="B1678" s="9" t="s">
        <v>178</v>
      </c>
      <c r="C1678" s="8" t="s">
        <v>28</v>
      </c>
    </row>
    <row r="1679" spans="1:3" x14ac:dyDescent="0.25">
      <c r="A1679" s="8">
        <v>6808730</v>
      </c>
      <c r="B1679" s="9" t="s">
        <v>1821</v>
      </c>
      <c r="C1679" s="8" t="s">
        <v>28</v>
      </c>
    </row>
    <row r="1680" spans="1:3" x14ac:dyDescent="0.25">
      <c r="A1680" s="8">
        <v>6808858</v>
      </c>
      <c r="B1680" s="9" t="s">
        <v>199</v>
      </c>
      <c r="C1680" s="8" t="s">
        <v>28</v>
      </c>
    </row>
    <row r="1681" spans="1:3" x14ac:dyDescent="0.25">
      <c r="A1681" s="8">
        <v>6808985</v>
      </c>
      <c r="B1681" s="9" t="s">
        <v>1822</v>
      </c>
      <c r="C1681" s="8" t="s">
        <v>27</v>
      </c>
    </row>
    <row r="1682" spans="1:3" x14ac:dyDescent="0.25">
      <c r="A1682" s="8">
        <v>6808986</v>
      </c>
      <c r="B1682" s="9" t="s">
        <v>1823</v>
      </c>
      <c r="C1682" s="8" t="s">
        <v>27</v>
      </c>
    </row>
    <row r="1683" spans="1:3" x14ac:dyDescent="0.25">
      <c r="A1683" s="8">
        <v>6808987</v>
      </c>
      <c r="B1683" s="9" t="s">
        <v>1824</v>
      </c>
      <c r="C1683" s="8" t="s">
        <v>27</v>
      </c>
    </row>
    <row r="1684" spans="1:3" x14ac:dyDescent="0.25">
      <c r="A1684" s="8">
        <v>6808988</v>
      </c>
      <c r="B1684" s="9" t="s">
        <v>1825</v>
      </c>
      <c r="C1684" s="8" t="s">
        <v>27</v>
      </c>
    </row>
    <row r="1685" spans="1:3" x14ac:dyDescent="0.25">
      <c r="A1685" s="8">
        <v>6808989</v>
      </c>
      <c r="B1685" s="9" t="s">
        <v>1826</v>
      </c>
      <c r="C1685" s="8" t="s">
        <v>27</v>
      </c>
    </row>
    <row r="1686" spans="1:3" x14ac:dyDescent="0.25">
      <c r="A1686" s="8">
        <v>6809110</v>
      </c>
      <c r="B1686" s="9" t="s">
        <v>1827</v>
      </c>
      <c r="C1686" s="8" t="s">
        <v>28</v>
      </c>
    </row>
    <row r="1687" spans="1:3" x14ac:dyDescent="0.25">
      <c r="A1687" s="8">
        <v>6809111</v>
      </c>
      <c r="B1687" s="9" t="s">
        <v>1828</v>
      </c>
      <c r="C1687" s="8" t="s">
        <v>28</v>
      </c>
    </row>
    <row r="1688" spans="1:3" x14ac:dyDescent="0.25">
      <c r="A1688" s="8">
        <v>6809152</v>
      </c>
      <c r="B1688" s="9" t="s">
        <v>179</v>
      </c>
      <c r="C1688" s="8" t="s">
        <v>28</v>
      </c>
    </row>
    <row r="1689" spans="1:3" x14ac:dyDescent="0.25">
      <c r="A1689" s="8">
        <v>6809153</v>
      </c>
      <c r="B1689" s="9" t="s">
        <v>1829</v>
      </c>
      <c r="C1689" s="8" t="s">
        <v>27</v>
      </c>
    </row>
    <row r="1690" spans="1:3" x14ac:dyDescent="0.25">
      <c r="A1690" s="8">
        <v>6809156</v>
      </c>
      <c r="B1690" s="9" t="s">
        <v>1830</v>
      </c>
      <c r="C1690" s="8" t="s">
        <v>31</v>
      </c>
    </row>
    <row r="1691" spans="1:3" x14ac:dyDescent="0.25">
      <c r="A1691" s="8">
        <v>6809157</v>
      </c>
      <c r="B1691" s="9" t="s">
        <v>1831</v>
      </c>
      <c r="C1691" s="8" t="s">
        <v>31</v>
      </c>
    </row>
    <row r="1692" spans="1:3" x14ac:dyDescent="0.25">
      <c r="A1692" s="8">
        <v>6809158</v>
      </c>
      <c r="B1692" s="9" t="s">
        <v>1832</v>
      </c>
      <c r="C1692" s="8" t="s">
        <v>31</v>
      </c>
    </row>
    <row r="1693" spans="1:3" x14ac:dyDescent="0.25">
      <c r="A1693" s="8">
        <v>6809181</v>
      </c>
      <c r="B1693" s="9" t="s">
        <v>1833</v>
      </c>
      <c r="C1693" s="8" t="s">
        <v>31</v>
      </c>
    </row>
    <row r="1694" spans="1:3" x14ac:dyDescent="0.25">
      <c r="A1694" s="8">
        <v>6809182</v>
      </c>
      <c r="B1694" s="9" t="s">
        <v>1834</v>
      </c>
      <c r="C1694" s="8" t="s">
        <v>31</v>
      </c>
    </row>
    <row r="1695" spans="1:3" x14ac:dyDescent="0.25">
      <c r="A1695" s="8">
        <v>6809183</v>
      </c>
      <c r="B1695" s="9" t="s">
        <v>1835</v>
      </c>
      <c r="C1695" s="8" t="s">
        <v>31</v>
      </c>
    </row>
    <row r="1696" spans="1:3" x14ac:dyDescent="0.25">
      <c r="A1696" s="8">
        <v>6809230</v>
      </c>
      <c r="B1696" s="9" t="s">
        <v>1836</v>
      </c>
      <c r="C1696" s="8" t="s">
        <v>28</v>
      </c>
    </row>
    <row r="1697" spans="1:3" x14ac:dyDescent="0.25">
      <c r="A1697" s="8">
        <v>6809284</v>
      </c>
      <c r="B1697" s="9" t="s">
        <v>1837</v>
      </c>
      <c r="C1697" s="8" t="s">
        <v>28</v>
      </c>
    </row>
    <row r="1698" spans="1:3" x14ac:dyDescent="0.25">
      <c r="A1698" s="8">
        <v>6809557</v>
      </c>
      <c r="B1698" s="9" t="s">
        <v>1838</v>
      </c>
      <c r="C1698" s="8" t="s">
        <v>28</v>
      </c>
    </row>
    <row r="1699" spans="1:3" x14ac:dyDescent="0.25">
      <c r="A1699" s="8">
        <v>6809559</v>
      </c>
      <c r="B1699" s="9" t="s">
        <v>1839</v>
      </c>
      <c r="C1699" s="8" t="s">
        <v>28</v>
      </c>
    </row>
    <row r="1700" spans="1:3" x14ac:dyDescent="0.25">
      <c r="A1700" s="8">
        <v>6809740</v>
      </c>
      <c r="B1700" s="9" t="s">
        <v>1840</v>
      </c>
      <c r="C1700" s="8" t="s">
        <v>28</v>
      </c>
    </row>
    <row r="1701" spans="1:3" x14ac:dyDescent="0.25">
      <c r="A1701" s="8">
        <v>6809741</v>
      </c>
      <c r="B1701" s="9" t="s">
        <v>1841</v>
      </c>
      <c r="C1701" s="8" t="s">
        <v>28</v>
      </c>
    </row>
    <row r="1702" spans="1:3" x14ac:dyDescent="0.25">
      <c r="A1702" s="8">
        <v>6809742</v>
      </c>
      <c r="B1702" s="9" t="s">
        <v>1842</v>
      </c>
      <c r="C1702" s="8" t="s">
        <v>28</v>
      </c>
    </row>
    <row r="1703" spans="1:3" x14ac:dyDescent="0.25">
      <c r="A1703" s="8">
        <v>6809743</v>
      </c>
      <c r="B1703" s="9" t="s">
        <v>1843</v>
      </c>
      <c r="C1703" s="8" t="s">
        <v>28</v>
      </c>
    </row>
    <row r="1704" spans="1:3" x14ac:dyDescent="0.25">
      <c r="A1704" s="8">
        <v>6809744</v>
      </c>
      <c r="B1704" s="9" t="s">
        <v>1844</v>
      </c>
      <c r="C1704" s="8" t="s">
        <v>28</v>
      </c>
    </row>
    <row r="1705" spans="1:3" x14ac:dyDescent="0.25">
      <c r="A1705" s="8">
        <v>6809745</v>
      </c>
      <c r="B1705" s="9" t="s">
        <v>1845</v>
      </c>
      <c r="C1705" s="8" t="s">
        <v>28</v>
      </c>
    </row>
    <row r="1706" spans="1:3" x14ac:dyDescent="0.25">
      <c r="A1706" s="8">
        <v>6809746</v>
      </c>
      <c r="B1706" s="9" t="s">
        <v>1846</v>
      </c>
      <c r="C1706" s="8" t="s">
        <v>28</v>
      </c>
    </row>
    <row r="1707" spans="1:3" x14ac:dyDescent="0.25">
      <c r="A1707" s="8">
        <v>6809747</v>
      </c>
      <c r="B1707" s="9" t="s">
        <v>1847</v>
      </c>
      <c r="C1707" s="8" t="s">
        <v>28</v>
      </c>
    </row>
    <row r="1708" spans="1:3" x14ac:dyDescent="0.25">
      <c r="A1708" s="8">
        <v>6809748</v>
      </c>
      <c r="B1708" s="9" t="s">
        <v>1848</v>
      </c>
      <c r="C1708" s="8" t="s">
        <v>28</v>
      </c>
    </row>
    <row r="1709" spans="1:3" x14ac:dyDescent="0.25">
      <c r="A1709" s="8">
        <v>6809749</v>
      </c>
      <c r="B1709" s="9" t="s">
        <v>1849</v>
      </c>
      <c r="C1709" s="8" t="s">
        <v>28</v>
      </c>
    </row>
    <row r="1710" spans="1:3" x14ac:dyDescent="0.25">
      <c r="A1710" s="8">
        <v>6809778</v>
      </c>
      <c r="B1710" s="9" t="s">
        <v>1850</v>
      </c>
      <c r="C1710" s="8" t="s">
        <v>28</v>
      </c>
    </row>
    <row r="1711" spans="1:3" x14ac:dyDescent="0.25">
      <c r="A1711" s="8">
        <v>6809779</v>
      </c>
      <c r="B1711" s="9" t="s">
        <v>1851</v>
      </c>
      <c r="C1711" s="8" t="s">
        <v>28</v>
      </c>
    </row>
    <row r="1712" spans="1:3" x14ac:dyDescent="0.25">
      <c r="A1712" s="8">
        <v>6810050</v>
      </c>
      <c r="B1712" s="9" t="s">
        <v>194</v>
      </c>
      <c r="C1712" s="8" t="s">
        <v>28</v>
      </c>
    </row>
    <row r="1713" spans="1:3" x14ac:dyDescent="0.25">
      <c r="A1713" s="8">
        <v>6810051</v>
      </c>
      <c r="B1713" s="9" t="s">
        <v>189</v>
      </c>
      <c r="C1713" s="8" t="s">
        <v>28</v>
      </c>
    </row>
    <row r="1714" spans="1:3" x14ac:dyDescent="0.25">
      <c r="A1714" s="8">
        <v>6810052</v>
      </c>
      <c r="B1714" s="9" t="s">
        <v>1852</v>
      </c>
      <c r="C1714" s="8" t="s">
        <v>28</v>
      </c>
    </row>
    <row r="1715" spans="1:3" x14ac:dyDescent="0.25">
      <c r="A1715" s="8">
        <v>6810108</v>
      </c>
      <c r="B1715" s="9" t="s">
        <v>1853</v>
      </c>
      <c r="C1715" s="8" t="s">
        <v>28</v>
      </c>
    </row>
    <row r="1716" spans="1:3" x14ac:dyDescent="0.25">
      <c r="A1716" s="8">
        <v>6810171</v>
      </c>
      <c r="B1716" s="9" t="s">
        <v>1854</v>
      </c>
      <c r="C1716" s="8" t="s">
        <v>27</v>
      </c>
    </row>
    <row r="1717" spans="1:3" x14ac:dyDescent="0.25">
      <c r="A1717" s="8">
        <v>6810180</v>
      </c>
      <c r="B1717" s="9" t="s">
        <v>198</v>
      </c>
      <c r="C1717" s="8" t="s">
        <v>28</v>
      </c>
    </row>
    <row r="1718" spans="1:3" x14ac:dyDescent="0.25">
      <c r="A1718" s="8">
        <v>6810263</v>
      </c>
      <c r="B1718" s="9" t="s">
        <v>207</v>
      </c>
      <c r="C1718" s="8" t="s">
        <v>28</v>
      </c>
    </row>
    <row r="1719" spans="1:3" x14ac:dyDescent="0.25">
      <c r="A1719" s="8">
        <v>6810264</v>
      </c>
      <c r="B1719" s="9" t="s">
        <v>1855</v>
      </c>
      <c r="C1719" s="8" t="s">
        <v>28</v>
      </c>
    </row>
    <row r="1720" spans="1:3" x14ac:dyDescent="0.25">
      <c r="A1720" s="8">
        <v>6810357</v>
      </c>
      <c r="B1720" s="9" t="s">
        <v>1856</v>
      </c>
      <c r="C1720" s="8" t="s">
        <v>28</v>
      </c>
    </row>
    <row r="1721" spans="1:3" x14ac:dyDescent="0.25">
      <c r="A1721" s="8">
        <v>6810434</v>
      </c>
      <c r="B1721" s="9" t="s">
        <v>217</v>
      </c>
      <c r="C1721" s="8" t="s">
        <v>28</v>
      </c>
    </row>
    <row r="1722" spans="1:3" x14ac:dyDescent="0.25">
      <c r="A1722" s="8">
        <v>6810453</v>
      </c>
      <c r="B1722" s="9" t="s">
        <v>191</v>
      </c>
      <c r="C1722" s="8" t="s">
        <v>28</v>
      </c>
    </row>
    <row r="1723" spans="1:3" x14ac:dyDescent="0.25">
      <c r="A1723" s="8">
        <v>6810650</v>
      </c>
      <c r="B1723" s="9" t="s">
        <v>180</v>
      </c>
      <c r="C1723" s="8" t="s">
        <v>31</v>
      </c>
    </row>
    <row r="1724" spans="1:3" x14ac:dyDescent="0.25">
      <c r="A1724" s="8">
        <v>6810651</v>
      </c>
      <c r="B1724" s="9" t="s">
        <v>200</v>
      </c>
      <c r="C1724" s="8" t="s">
        <v>31</v>
      </c>
    </row>
    <row r="1725" spans="1:3" x14ac:dyDescent="0.25">
      <c r="A1725" s="8">
        <v>6811850</v>
      </c>
      <c r="B1725" s="9" t="s">
        <v>1857</v>
      </c>
      <c r="C1725" s="8" t="s">
        <v>28</v>
      </c>
    </row>
    <row r="1726" spans="1:3" x14ac:dyDescent="0.25">
      <c r="A1726" s="8">
        <v>6811875</v>
      </c>
      <c r="B1726" s="9" t="s">
        <v>1858</v>
      </c>
      <c r="C1726" s="8" t="s">
        <v>27</v>
      </c>
    </row>
    <row r="1727" spans="1:3" x14ac:dyDescent="0.25">
      <c r="A1727" s="8">
        <v>6811876</v>
      </c>
      <c r="B1727" s="9" t="s">
        <v>1859</v>
      </c>
      <c r="C1727" s="8" t="s">
        <v>27</v>
      </c>
    </row>
    <row r="1728" spans="1:3" x14ac:dyDescent="0.25">
      <c r="A1728" s="8">
        <v>6811877</v>
      </c>
      <c r="B1728" s="9" t="s">
        <v>1860</v>
      </c>
      <c r="C1728" s="8" t="s">
        <v>27</v>
      </c>
    </row>
    <row r="1729" spans="1:3" x14ac:dyDescent="0.25">
      <c r="A1729" s="8">
        <v>6811878</v>
      </c>
      <c r="B1729" s="9" t="s">
        <v>1861</v>
      </c>
      <c r="C1729" s="8" t="s">
        <v>27</v>
      </c>
    </row>
    <row r="1730" spans="1:3" x14ac:dyDescent="0.25">
      <c r="A1730" s="8">
        <v>6811910</v>
      </c>
      <c r="B1730" s="9" t="s">
        <v>1862</v>
      </c>
      <c r="C1730" s="8" t="s">
        <v>26</v>
      </c>
    </row>
    <row r="1731" spans="1:3" x14ac:dyDescent="0.25">
      <c r="A1731" s="8">
        <v>6811911</v>
      </c>
      <c r="B1731" s="9" t="s">
        <v>1863</v>
      </c>
      <c r="C1731" s="8" t="s">
        <v>26</v>
      </c>
    </row>
    <row r="1732" spans="1:3" x14ac:dyDescent="0.25">
      <c r="A1732" s="8">
        <v>6811983</v>
      </c>
      <c r="B1732" s="9" t="s">
        <v>1864</v>
      </c>
      <c r="C1732" s="8" t="s">
        <v>27</v>
      </c>
    </row>
    <row r="1733" spans="1:3" x14ac:dyDescent="0.25">
      <c r="A1733" s="8">
        <v>6812126</v>
      </c>
      <c r="B1733" s="9" t="s">
        <v>1865</v>
      </c>
      <c r="C1733" s="8" t="s">
        <v>28</v>
      </c>
    </row>
    <row r="1734" spans="1:3" x14ac:dyDescent="0.25">
      <c r="A1734" s="8">
        <v>6812193</v>
      </c>
      <c r="B1734" s="9" t="s">
        <v>1866</v>
      </c>
      <c r="C1734" s="8" t="s">
        <v>28</v>
      </c>
    </row>
    <row r="1735" spans="1:3" x14ac:dyDescent="0.25">
      <c r="A1735" s="8">
        <v>6812194</v>
      </c>
      <c r="B1735" s="9" t="s">
        <v>1867</v>
      </c>
      <c r="C1735" s="8" t="s">
        <v>28</v>
      </c>
    </row>
    <row r="1736" spans="1:3" x14ac:dyDescent="0.25">
      <c r="A1736" s="8">
        <v>6812195</v>
      </c>
      <c r="B1736" s="9" t="s">
        <v>1868</v>
      </c>
      <c r="C1736" s="8" t="s">
        <v>28</v>
      </c>
    </row>
    <row r="1737" spans="1:3" x14ac:dyDescent="0.25">
      <c r="A1737" s="8">
        <v>6812196</v>
      </c>
      <c r="B1737" s="9" t="s">
        <v>1869</v>
      </c>
      <c r="C1737" s="8" t="s">
        <v>28</v>
      </c>
    </row>
    <row r="1738" spans="1:3" x14ac:dyDescent="0.25">
      <c r="A1738" s="8">
        <v>6812197</v>
      </c>
      <c r="B1738" s="9" t="s">
        <v>1870</v>
      </c>
      <c r="C1738" s="8" t="s">
        <v>28</v>
      </c>
    </row>
    <row r="1739" spans="1:3" x14ac:dyDescent="0.25">
      <c r="A1739" s="8">
        <v>6812198</v>
      </c>
      <c r="B1739" s="9" t="s">
        <v>1871</v>
      </c>
      <c r="C1739" s="8" t="s">
        <v>28</v>
      </c>
    </row>
    <row r="1740" spans="1:3" x14ac:dyDescent="0.25">
      <c r="A1740" s="8">
        <v>6812199</v>
      </c>
      <c r="B1740" s="9" t="s">
        <v>1872</v>
      </c>
      <c r="C1740" s="8" t="s">
        <v>28</v>
      </c>
    </row>
    <row r="1741" spans="1:3" x14ac:dyDescent="0.25">
      <c r="A1741" s="8">
        <v>6812220</v>
      </c>
      <c r="B1741" s="9" t="s">
        <v>1873</v>
      </c>
      <c r="C1741" s="8" t="s">
        <v>28</v>
      </c>
    </row>
    <row r="1742" spans="1:3" x14ac:dyDescent="0.25">
      <c r="A1742" s="8">
        <v>6812221</v>
      </c>
      <c r="B1742" s="9" t="s">
        <v>1874</v>
      </c>
      <c r="C1742" s="8" t="s">
        <v>28</v>
      </c>
    </row>
    <row r="1743" spans="1:3" x14ac:dyDescent="0.25">
      <c r="A1743" s="8">
        <v>6812222</v>
      </c>
      <c r="B1743" s="9" t="s">
        <v>1875</v>
      </c>
      <c r="C1743" s="8" t="s">
        <v>28</v>
      </c>
    </row>
    <row r="1744" spans="1:3" x14ac:dyDescent="0.25">
      <c r="A1744" s="8">
        <v>6812223</v>
      </c>
      <c r="B1744" s="9" t="s">
        <v>1876</v>
      </c>
      <c r="C1744" s="8" t="s">
        <v>28</v>
      </c>
    </row>
    <row r="1745" spans="1:3" x14ac:dyDescent="0.25">
      <c r="A1745" s="8">
        <v>6812224</v>
      </c>
      <c r="B1745" s="9" t="s">
        <v>1877</v>
      </c>
      <c r="C1745" s="8" t="s">
        <v>28</v>
      </c>
    </row>
    <row r="1746" spans="1:3" x14ac:dyDescent="0.25">
      <c r="A1746" s="8">
        <v>6812225</v>
      </c>
      <c r="B1746" s="9" t="s">
        <v>1878</v>
      </c>
      <c r="C1746" s="8" t="s">
        <v>28</v>
      </c>
    </row>
    <row r="1747" spans="1:3" x14ac:dyDescent="0.25">
      <c r="A1747" s="8">
        <v>6812226</v>
      </c>
      <c r="B1747" s="9" t="s">
        <v>1879</v>
      </c>
      <c r="C1747" s="8" t="s">
        <v>28</v>
      </c>
    </row>
    <row r="1748" spans="1:3" x14ac:dyDescent="0.25">
      <c r="A1748" s="8">
        <v>6812291</v>
      </c>
      <c r="B1748" s="9" t="s">
        <v>1880</v>
      </c>
      <c r="C1748" s="8" t="s">
        <v>27</v>
      </c>
    </row>
    <row r="1749" spans="1:3" x14ac:dyDescent="0.25">
      <c r="A1749" s="8">
        <v>6812511</v>
      </c>
      <c r="B1749" s="9" t="s">
        <v>1881</v>
      </c>
      <c r="C1749" s="8" t="s">
        <v>26</v>
      </c>
    </row>
    <row r="1750" spans="1:3" x14ac:dyDescent="0.25">
      <c r="A1750" s="8">
        <v>6812530</v>
      </c>
      <c r="B1750" s="9" t="s">
        <v>1882</v>
      </c>
      <c r="C1750" s="8" t="s">
        <v>28</v>
      </c>
    </row>
    <row r="1751" spans="1:3" x14ac:dyDescent="0.25">
      <c r="A1751" s="8">
        <v>6812585</v>
      </c>
      <c r="B1751" s="9" t="s">
        <v>1883</v>
      </c>
      <c r="C1751" s="8" t="s">
        <v>28</v>
      </c>
    </row>
    <row r="1752" spans="1:3" x14ac:dyDescent="0.25">
      <c r="A1752" s="8">
        <v>6812586</v>
      </c>
      <c r="B1752" s="9" t="s">
        <v>1884</v>
      </c>
      <c r="C1752" s="8" t="s">
        <v>28</v>
      </c>
    </row>
    <row r="1753" spans="1:3" x14ac:dyDescent="0.25">
      <c r="A1753" s="8">
        <v>6812587</v>
      </c>
      <c r="B1753" s="9" t="s">
        <v>1885</v>
      </c>
      <c r="C1753" s="8" t="s">
        <v>28</v>
      </c>
    </row>
    <row r="1754" spans="1:3" x14ac:dyDescent="0.25">
      <c r="A1754" s="8">
        <v>6812589</v>
      </c>
      <c r="B1754" s="9" t="s">
        <v>1886</v>
      </c>
      <c r="C1754" s="8" t="s">
        <v>28</v>
      </c>
    </row>
    <row r="1755" spans="1:3" x14ac:dyDescent="0.25">
      <c r="A1755" s="8">
        <v>6812599</v>
      </c>
      <c r="B1755" s="9" t="s">
        <v>1887</v>
      </c>
      <c r="C1755" s="8" t="s">
        <v>28</v>
      </c>
    </row>
    <row r="1756" spans="1:3" x14ac:dyDescent="0.25">
      <c r="A1756" s="8">
        <v>6812610</v>
      </c>
      <c r="B1756" s="9" t="s">
        <v>1888</v>
      </c>
      <c r="C1756" s="8" t="s">
        <v>28</v>
      </c>
    </row>
    <row r="1757" spans="1:3" x14ac:dyDescent="0.25">
      <c r="A1757" s="8">
        <v>6812611</v>
      </c>
      <c r="B1757" s="9" t="s">
        <v>1889</v>
      </c>
      <c r="C1757" s="8" t="s">
        <v>28</v>
      </c>
    </row>
    <row r="1758" spans="1:3" x14ac:dyDescent="0.25">
      <c r="A1758" s="8">
        <v>6812613</v>
      </c>
      <c r="B1758" s="9" t="s">
        <v>1890</v>
      </c>
      <c r="C1758" s="8" t="s">
        <v>28</v>
      </c>
    </row>
    <row r="1759" spans="1:3" x14ac:dyDescent="0.25">
      <c r="A1759" s="8">
        <v>6812614</v>
      </c>
      <c r="B1759" s="9" t="s">
        <v>1891</v>
      </c>
      <c r="C1759" s="8" t="s">
        <v>28</v>
      </c>
    </row>
    <row r="1760" spans="1:3" x14ac:dyDescent="0.25">
      <c r="A1760" s="8">
        <v>6812615</v>
      </c>
      <c r="B1760" s="9" t="s">
        <v>1892</v>
      </c>
      <c r="C1760" s="8" t="s">
        <v>28</v>
      </c>
    </row>
    <row r="1761" spans="1:3" x14ac:dyDescent="0.25">
      <c r="A1761" s="8">
        <v>6812616</v>
      </c>
      <c r="B1761" s="9" t="s">
        <v>1893</v>
      </c>
      <c r="C1761" s="8" t="s">
        <v>28</v>
      </c>
    </row>
    <row r="1762" spans="1:3" x14ac:dyDescent="0.25">
      <c r="A1762" s="8">
        <v>6812670</v>
      </c>
      <c r="B1762" s="9" t="s">
        <v>1894</v>
      </c>
      <c r="C1762" s="8" t="s">
        <v>28</v>
      </c>
    </row>
    <row r="1763" spans="1:3" x14ac:dyDescent="0.25">
      <c r="A1763" s="8">
        <v>6812671</v>
      </c>
      <c r="B1763" s="9" t="s">
        <v>1895</v>
      </c>
      <c r="C1763" s="8" t="s">
        <v>26</v>
      </c>
    </row>
    <row r="1764" spans="1:3" x14ac:dyDescent="0.25">
      <c r="A1764" s="8">
        <v>6812672</v>
      </c>
      <c r="B1764" s="9" t="s">
        <v>1896</v>
      </c>
      <c r="C1764" s="8" t="s">
        <v>28</v>
      </c>
    </row>
    <row r="1765" spans="1:3" x14ac:dyDescent="0.25">
      <c r="A1765" s="8">
        <v>6812673</v>
      </c>
      <c r="B1765" s="9" t="s">
        <v>1897</v>
      </c>
      <c r="C1765" s="8" t="s">
        <v>28</v>
      </c>
    </row>
    <row r="1766" spans="1:3" x14ac:dyDescent="0.25">
      <c r="A1766" s="8">
        <v>6812675</v>
      </c>
      <c r="B1766" s="9" t="s">
        <v>1898</v>
      </c>
      <c r="C1766" s="8" t="s">
        <v>28</v>
      </c>
    </row>
    <row r="1767" spans="1:3" x14ac:dyDescent="0.25">
      <c r="A1767" s="8">
        <v>6812676</v>
      </c>
      <c r="B1767" s="9" t="s">
        <v>1899</v>
      </c>
      <c r="C1767" s="8" t="s">
        <v>28</v>
      </c>
    </row>
    <row r="1768" spans="1:3" x14ac:dyDescent="0.25">
      <c r="A1768" s="8">
        <v>6812677</v>
      </c>
      <c r="B1768" s="9" t="s">
        <v>1900</v>
      </c>
      <c r="C1768" s="8" t="s">
        <v>28</v>
      </c>
    </row>
    <row r="1769" spans="1:3" x14ac:dyDescent="0.25">
      <c r="A1769" s="8">
        <v>6812678</v>
      </c>
      <c r="B1769" s="9" t="s">
        <v>1901</v>
      </c>
      <c r="C1769" s="8" t="s">
        <v>28</v>
      </c>
    </row>
    <row r="1770" spans="1:3" x14ac:dyDescent="0.25">
      <c r="A1770" s="8">
        <v>6812750</v>
      </c>
      <c r="B1770" s="9" t="s">
        <v>1902</v>
      </c>
      <c r="C1770" s="8" t="s">
        <v>26</v>
      </c>
    </row>
    <row r="1771" spans="1:3" x14ac:dyDescent="0.25">
      <c r="A1771" s="8">
        <v>6812810</v>
      </c>
      <c r="B1771" s="9" t="s">
        <v>1902</v>
      </c>
      <c r="C1771" s="8" t="s">
        <v>26</v>
      </c>
    </row>
    <row r="1772" spans="1:3" x14ac:dyDescent="0.25">
      <c r="A1772" s="8">
        <v>6812874</v>
      </c>
      <c r="B1772" s="9" t="s">
        <v>1903</v>
      </c>
      <c r="C1772" s="8" t="s">
        <v>27</v>
      </c>
    </row>
    <row r="1773" spans="1:3" x14ac:dyDescent="0.25">
      <c r="A1773" s="8">
        <v>6812875</v>
      </c>
      <c r="B1773" s="9" t="s">
        <v>1904</v>
      </c>
      <c r="C1773" s="8" t="s">
        <v>27</v>
      </c>
    </row>
    <row r="1774" spans="1:3" x14ac:dyDescent="0.25">
      <c r="A1774" s="8">
        <v>6812981</v>
      </c>
      <c r="B1774" s="9" t="s">
        <v>1905</v>
      </c>
      <c r="C1774" s="8" t="s">
        <v>27</v>
      </c>
    </row>
    <row r="1775" spans="1:3" x14ac:dyDescent="0.25">
      <c r="A1775" s="8">
        <v>6812982</v>
      </c>
      <c r="B1775" s="9" t="s">
        <v>1906</v>
      </c>
      <c r="C1775" s="8" t="s">
        <v>27</v>
      </c>
    </row>
    <row r="1776" spans="1:3" x14ac:dyDescent="0.25">
      <c r="A1776" s="8">
        <v>6813080</v>
      </c>
      <c r="B1776" s="9" t="s">
        <v>1907</v>
      </c>
      <c r="C1776" s="8" t="s">
        <v>28</v>
      </c>
    </row>
    <row r="1777" spans="1:3" x14ac:dyDescent="0.25">
      <c r="A1777" s="8">
        <v>6813219</v>
      </c>
      <c r="B1777" s="9" t="s">
        <v>1908</v>
      </c>
      <c r="C1777" s="8" t="s">
        <v>28</v>
      </c>
    </row>
    <row r="1778" spans="1:3" x14ac:dyDescent="0.25">
      <c r="A1778" s="8">
        <v>6813270</v>
      </c>
      <c r="B1778" s="9" t="s">
        <v>1909</v>
      </c>
      <c r="C1778" s="8" t="s">
        <v>28</v>
      </c>
    </row>
    <row r="1779" spans="1:3" x14ac:dyDescent="0.25">
      <c r="A1779" s="8">
        <v>6813271</v>
      </c>
      <c r="B1779" s="9" t="s">
        <v>1910</v>
      </c>
      <c r="C1779" s="8" t="s">
        <v>28</v>
      </c>
    </row>
    <row r="1780" spans="1:3" x14ac:dyDescent="0.25">
      <c r="A1780" s="8">
        <v>6813272</v>
      </c>
      <c r="B1780" s="9" t="s">
        <v>1911</v>
      </c>
      <c r="C1780" s="8" t="s">
        <v>28</v>
      </c>
    </row>
    <row r="1781" spans="1:3" x14ac:dyDescent="0.25">
      <c r="A1781" s="8">
        <v>6813276</v>
      </c>
      <c r="B1781" s="9" t="s">
        <v>1912</v>
      </c>
      <c r="C1781" s="8" t="s">
        <v>28</v>
      </c>
    </row>
    <row r="1782" spans="1:3" x14ac:dyDescent="0.25">
      <c r="A1782" s="8">
        <v>6813277</v>
      </c>
      <c r="B1782" s="9" t="s">
        <v>1913</v>
      </c>
      <c r="C1782" s="8" t="s">
        <v>28</v>
      </c>
    </row>
    <row r="1783" spans="1:3" x14ac:dyDescent="0.25">
      <c r="A1783" s="8">
        <v>6813278</v>
      </c>
      <c r="B1783" s="9" t="s">
        <v>1914</v>
      </c>
      <c r="C1783" s="8" t="s">
        <v>28</v>
      </c>
    </row>
    <row r="1784" spans="1:3" x14ac:dyDescent="0.25">
      <c r="A1784" s="8">
        <v>6813279</v>
      </c>
      <c r="B1784" s="9" t="s">
        <v>1915</v>
      </c>
      <c r="C1784" s="8" t="s">
        <v>28</v>
      </c>
    </row>
    <row r="1785" spans="1:3" x14ac:dyDescent="0.25">
      <c r="A1785" s="8">
        <v>6813280</v>
      </c>
      <c r="B1785" s="9" t="s">
        <v>1916</v>
      </c>
      <c r="C1785" s="8" t="s">
        <v>28</v>
      </c>
    </row>
    <row r="1786" spans="1:3" x14ac:dyDescent="0.25">
      <c r="A1786" s="8">
        <v>6813306</v>
      </c>
      <c r="B1786" s="9" t="s">
        <v>1917</v>
      </c>
      <c r="C1786" s="8" t="s">
        <v>28</v>
      </c>
    </row>
    <row r="1787" spans="1:3" x14ac:dyDescent="0.25">
      <c r="A1787" s="8">
        <v>6813307</v>
      </c>
      <c r="B1787" s="9" t="s">
        <v>1918</v>
      </c>
      <c r="C1787" s="8" t="s">
        <v>28</v>
      </c>
    </row>
    <row r="1788" spans="1:3" x14ac:dyDescent="0.25">
      <c r="A1788" s="8">
        <v>6813380</v>
      </c>
      <c r="B1788" s="9" t="s">
        <v>1919</v>
      </c>
      <c r="C1788" s="8" t="s">
        <v>28</v>
      </c>
    </row>
    <row r="1789" spans="1:3" x14ac:dyDescent="0.25">
      <c r="A1789" s="8">
        <v>6813453</v>
      </c>
      <c r="B1789" s="9" t="s">
        <v>1920</v>
      </c>
      <c r="C1789" s="8" t="s">
        <v>28</v>
      </c>
    </row>
    <row r="1790" spans="1:3" x14ac:dyDescent="0.25">
      <c r="A1790" s="8">
        <v>6813523</v>
      </c>
      <c r="B1790" s="9" t="s">
        <v>1921</v>
      </c>
      <c r="C1790" s="8" t="s">
        <v>28</v>
      </c>
    </row>
    <row r="1791" spans="1:3" x14ac:dyDescent="0.25">
      <c r="A1791" s="8">
        <v>6813720</v>
      </c>
      <c r="B1791" s="9" t="s">
        <v>1922</v>
      </c>
      <c r="C1791" s="8" t="s">
        <v>26</v>
      </c>
    </row>
    <row r="1792" spans="1:3" x14ac:dyDescent="0.25">
      <c r="A1792" s="8">
        <v>6813762</v>
      </c>
      <c r="B1792" s="9" t="s">
        <v>1923</v>
      </c>
      <c r="C1792" s="8" t="s">
        <v>27</v>
      </c>
    </row>
    <row r="1793" spans="1:3" x14ac:dyDescent="0.25">
      <c r="A1793" s="8">
        <v>6814069</v>
      </c>
      <c r="B1793" s="9" t="s">
        <v>1924</v>
      </c>
      <c r="C1793" s="8" t="s">
        <v>28</v>
      </c>
    </row>
    <row r="1794" spans="1:3" x14ac:dyDescent="0.25">
      <c r="A1794" s="8">
        <v>6814070</v>
      </c>
      <c r="B1794" s="9" t="s">
        <v>1925</v>
      </c>
      <c r="C1794" s="8" t="s">
        <v>28</v>
      </c>
    </row>
    <row r="1795" spans="1:3" x14ac:dyDescent="0.25">
      <c r="A1795" s="8">
        <v>6814071</v>
      </c>
      <c r="B1795" s="9" t="s">
        <v>1926</v>
      </c>
      <c r="C1795" s="8" t="s">
        <v>28</v>
      </c>
    </row>
    <row r="1796" spans="1:3" x14ac:dyDescent="0.25">
      <c r="A1796" s="8">
        <v>6814072</v>
      </c>
      <c r="B1796" s="9" t="s">
        <v>1927</v>
      </c>
      <c r="C1796" s="8" t="s">
        <v>28</v>
      </c>
    </row>
    <row r="1797" spans="1:3" x14ac:dyDescent="0.25">
      <c r="A1797" s="8">
        <v>6814073</v>
      </c>
      <c r="B1797" s="9" t="s">
        <v>1928</v>
      </c>
      <c r="C1797" s="8" t="s">
        <v>28</v>
      </c>
    </row>
    <row r="1798" spans="1:3" x14ac:dyDescent="0.25">
      <c r="A1798" s="8">
        <v>6814074</v>
      </c>
      <c r="B1798" s="9" t="s">
        <v>1929</v>
      </c>
      <c r="C1798" s="8" t="s">
        <v>28</v>
      </c>
    </row>
    <row r="1799" spans="1:3" x14ac:dyDescent="0.25">
      <c r="A1799" s="8">
        <v>6814075</v>
      </c>
      <c r="B1799" s="9" t="s">
        <v>1930</v>
      </c>
      <c r="C1799" s="8" t="s">
        <v>28</v>
      </c>
    </row>
    <row r="1800" spans="1:3" x14ac:dyDescent="0.25">
      <c r="A1800" s="8">
        <v>6814127</v>
      </c>
      <c r="B1800" s="9" t="s">
        <v>1931</v>
      </c>
      <c r="C1800" s="8" t="s">
        <v>28</v>
      </c>
    </row>
    <row r="1801" spans="1:3" x14ac:dyDescent="0.25">
      <c r="A1801" s="8">
        <v>6814128</v>
      </c>
      <c r="B1801" s="9" t="s">
        <v>1932</v>
      </c>
      <c r="C1801" s="8" t="s">
        <v>28</v>
      </c>
    </row>
    <row r="1802" spans="1:3" x14ac:dyDescent="0.25">
      <c r="A1802" s="8">
        <v>6814251</v>
      </c>
      <c r="B1802" s="9" t="s">
        <v>1933</v>
      </c>
      <c r="C1802" s="8" t="s">
        <v>28</v>
      </c>
    </row>
    <row r="1803" spans="1:3" x14ac:dyDescent="0.25">
      <c r="A1803" s="8">
        <v>6814252</v>
      </c>
      <c r="B1803" s="9" t="s">
        <v>1934</v>
      </c>
      <c r="C1803" s="8" t="s">
        <v>28</v>
      </c>
    </row>
    <row r="1804" spans="1:3" x14ac:dyDescent="0.25">
      <c r="A1804" s="8">
        <v>6814332</v>
      </c>
      <c r="B1804" s="9" t="s">
        <v>1935</v>
      </c>
      <c r="C1804" s="8" t="s">
        <v>30</v>
      </c>
    </row>
    <row r="1805" spans="1:3" x14ac:dyDescent="0.25">
      <c r="A1805" s="8">
        <v>6814333</v>
      </c>
      <c r="B1805" s="9" t="s">
        <v>1936</v>
      </c>
      <c r="C1805" s="8" t="s">
        <v>30</v>
      </c>
    </row>
    <row r="1806" spans="1:3" x14ac:dyDescent="0.25">
      <c r="A1806" s="8">
        <v>6814826</v>
      </c>
      <c r="B1806" s="9" t="s">
        <v>1937</v>
      </c>
      <c r="C1806" s="8" t="s">
        <v>28</v>
      </c>
    </row>
    <row r="1807" spans="1:3" x14ac:dyDescent="0.25">
      <c r="A1807" s="8">
        <v>6815012</v>
      </c>
      <c r="B1807" s="9" t="s">
        <v>1938</v>
      </c>
      <c r="C1807" s="8" t="s">
        <v>28</v>
      </c>
    </row>
    <row r="1808" spans="1:3" x14ac:dyDescent="0.25">
      <c r="A1808" s="8">
        <v>6815021</v>
      </c>
      <c r="B1808" s="9" t="s">
        <v>1939</v>
      </c>
      <c r="C1808" s="8" t="s">
        <v>26</v>
      </c>
    </row>
    <row r="1809" spans="1:3" x14ac:dyDescent="0.25">
      <c r="A1809" s="8">
        <v>6815058</v>
      </c>
      <c r="B1809" s="9" t="s">
        <v>1940</v>
      </c>
      <c r="C1809" s="8" t="s">
        <v>26</v>
      </c>
    </row>
    <row r="1810" spans="1:3" x14ac:dyDescent="0.25">
      <c r="A1810" s="8">
        <v>6815059</v>
      </c>
      <c r="B1810" s="9" t="s">
        <v>1941</v>
      </c>
      <c r="C1810" s="8" t="s">
        <v>26</v>
      </c>
    </row>
    <row r="1811" spans="1:3" x14ac:dyDescent="0.25">
      <c r="A1811" s="8">
        <v>6815090</v>
      </c>
      <c r="B1811" s="9" t="s">
        <v>1942</v>
      </c>
      <c r="C1811" s="8" t="s">
        <v>26</v>
      </c>
    </row>
    <row r="1812" spans="1:3" x14ac:dyDescent="0.25">
      <c r="A1812" s="8">
        <v>6815091</v>
      </c>
      <c r="B1812" s="9" t="s">
        <v>1943</v>
      </c>
      <c r="C1812" s="8" t="s">
        <v>26</v>
      </c>
    </row>
    <row r="1813" spans="1:3" x14ac:dyDescent="0.25">
      <c r="A1813" s="8">
        <v>6815092</v>
      </c>
      <c r="B1813" s="9" t="s">
        <v>1944</v>
      </c>
      <c r="C1813" s="8" t="s">
        <v>26</v>
      </c>
    </row>
    <row r="1814" spans="1:3" x14ac:dyDescent="0.25">
      <c r="A1814" s="8">
        <v>6815093</v>
      </c>
      <c r="B1814" s="9" t="s">
        <v>1945</v>
      </c>
      <c r="C1814" s="8" t="s">
        <v>26</v>
      </c>
    </row>
    <row r="1815" spans="1:3" x14ac:dyDescent="0.25">
      <c r="A1815" s="8">
        <v>6815152</v>
      </c>
      <c r="B1815" s="9" t="s">
        <v>1946</v>
      </c>
      <c r="C1815" s="8" t="s">
        <v>27</v>
      </c>
    </row>
    <row r="1816" spans="1:3" x14ac:dyDescent="0.25">
      <c r="A1816" s="8">
        <v>6815271</v>
      </c>
      <c r="B1816" s="9" t="s">
        <v>1947</v>
      </c>
      <c r="C1816" s="8" t="s">
        <v>27</v>
      </c>
    </row>
    <row r="1817" spans="1:3" x14ac:dyDescent="0.25">
      <c r="A1817" s="8">
        <v>6815339</v>
      </c>
      <c r="B1817" s="9" t="s">
        <v>1948</v>
      </c>
      <c r="C1817" s="8" t="s">
        <v>27</v>
      </c>
    </row>
    <row r="1818" spans="1:3" x14ac:dyDescent="0.25">
      <c r="A1818" s="8">
        <v>6815505</v>
      </c>
      <c r="B1818" s="9" t="s">
        <v>1949</v>
      </c>
      <c r="C1818" s="8" t="s">
        <v>28</v>
      </c>
    </row>
    <row r="1819" spans="1:3" x14ac:dyDescent="0.25">
      <c r="A1819" s="8">
        <v>6815506</v>
      </c>
      <c r="B1819" s="9" t="s">
        <v>1950</v>
      </c>
      <c r="C1819" s="8" t="s">
        <v>28</v>
      </c>
    </row>
    <row r="1820" spans="1:3" x14ac:dyDescent="0.25">
      <c r="A1820" s="8">
        <v>6815529</v>
      </c>
      <c r="B1820" s="9" t="s">
        <v>1951</v>
      </c>
      <c r="C1820" s="8" t="s">
        <v>28</v>
      </c>
    </row>
    <row r="1821" spans="1:3" x14ac:dyDescent="0.25">
      <c r="A1821" s="8">
        <v>6815566</v>
      </c>
      <c r="B1821" s="9" t="s">
        <v>1952</v>
      </c>
      <c r="C1821" s="8" t="s">
        <v>28</v>
      </c>
    </row>
    <row r="1822" spans="1:3" x14ac:dyDescent="0.25">
      <c r="A1822" s="8">
        <v>6815567</v>
      </c>
      <c r="B1822" s="9" t="s">
        <v>1953</v>
      </c>
      <c r="C1822" s="8" t="s">
        <v>28</v>
      </c>
    </row>
    <row r="1823" spans="1:3" x14ac:dyDescent="0.25">
      <c r="A1823" s="8">
        <v>6815568</v>
      </c>
      <c r="B1823" s="9" t="s">
        <v>1954</v>
      </c>
      <c r="C1823" s="8" t="s">
        <v>28</v>
      </c>
    </row>
    <row r="1824" spans="1:3" x14ac:dyDescent="0.25">
      <c r="A1824" s="8">
        <v>6815690</v>
      </c>
      <c r="B1824" s="9" t="s">
        <v>1955</v>
      </c>
      <c r="C1824" s="8" t="s">
        <v>28</v>
      </c>
    </row>
    <row r="1825" spans="1:3" x14ac:dyDescent="0.25">
      <c r="A1825" s="8">
        <v>6815699</v>
      </c>
      <c r="B1825" s="9" t="s">
        <v>1956</v>
      </c>
      <c r="C1825" s="8" t="s">
        <v>28</v>
      </c>
    </row>
    <row r="1826" spans="1:3" x14ac:dyDescent="0.25">
      <c r="A1826" s="8">
        <v>6815700</v>
      </c>
      <c r="B1826" s="9" t="s">
        <v>1957</v>
      </c>
      <c r="C1826" s="8" t="s">
        <v>28</v>
      </c>
    </row>
    <row r="1827" spans="1:3" x14ac:dyDescent="0.25">
      <c r="A1827" s="8">
        <v>6815701</v>
      </c>
      <c r="B1827" s="9" t="s">
        <v>1958</v>
      </c>
      <c r="C1827" s="8" t="s">
        <v>28</v>
      </c>
    </row>
    <row r="1828" spans="1:3" x14ac:dyDescent="0.25">
      <c r="A1828" s="8">
        <v>6815702</v>
      </c>
      <c r="B1828" s="9" t="s">
        <v>1959</v>
      </c>
      <c r="C1828" s="8" t="s">
        <v>28</v>
      </c>
    </row>
    <row r="1829" spans="1:3" x14ac:dyDescent="0.25">
      <c r="A1829" s="8">
        <v>6815734</v>
      </c>
      <c r="B1829" s="9" t="s">
        <v>1960</v>
      </c>
      <c r="C1829" s="8" t="s">
        <v>28</v>
      </c>
    </row>
    <row r="1830" spans="1:3" x14ac:dyDescent="0.25">
      <c r="A1830" s="8">
        <v>6815826</v>
      </c>
      <c r="B1830" s="9" t="s">
        <v>1961</v>
      </c>
      <c r="C1830" s="8" t="s">
        <v>28</v>
      </c>
    </row>
    <row r="1831" spans="1:3" x14ac:dyDescent="0.25">
      <c r="A1831" s="8">
        <v>6815827</v>
      </c>
      <c r="B1831" s="9" t="s">
        <v>1962</v>
      </c>
      <c r="C1831" s="8" t="s">
        <v>28</v>
      </c>
    </row>
    <row r="1832" spans="1:3" x14ac:dyDescent="0.25">
      <c r="A1832" s="8">
        <v>6815828</v>
      </c>
      <c r="B1832" s="9" t="s">
        <v>1963</v>
      </c>
      <c r="C1832" s="8" t="s">
        <v>28</v>
      </c>
    </row>
    <row r="1833" spans="1:3" x14ac:dyDescent="0.25">
      <c r="A1833" s="8">
        <v>6816091</v>
      </c>
      <c r="B1833" s="9" t="s">
        <v>1964</v>
      </c>
      <c r="C1833" s="8" t="s">
        <v>28</v>
      </c>
    </row>
    <row r="1834" spans="1:3" x14ac:dyDescent="0.25">
      <c r="A1834" s="8">
        <v>46828711</v>
      </c>
      <c r="B1834" s="9" t="s">
        <v>1965</v>
      </c>
      <c r="C1834" s="8" t="s">
        <v>26</v>
      </c>
    </row>
    <row r="1835" spans="1:3" x14ac:dyDescent="0.25">
      <c r="A1835" s="8">
        <v>46828712</v>
      </c>
      <c r="B1835" s="9" t="s">
        <v>1966</v>
      </c>
      <c r="C1835" s="8" t="s">
        <v>26</v>
      </c>
    </row>
    <row r="1836" spans="1:3" x14ac:dyDescent="0.25">
      <c r="A1836" s="8">
        <v>46828713</v>
      </c>
      <c r="B1836" s="9" t="s">
        <v>1967</v>
      </c>
      <c r="C1836" s="8" t="s">
        <v>26</v>
      </c>
    </row>
    <row r="1837" spans="1:3" x14ac:dyDescent="0.25">
      <c r="A1837" s="8">
        <v>6813930</v>
      </c>
      <c r="B1837" s="9" t="s">
        <v>1968</v>
      </c>
      <c r="C1837" s="8" t="s">
        <v>28</v>
      </c>
    </row>
    <row r="1838" spans="1:3" x14ac:dyDescent="0.25">
      <c r="A1838" s="8"/>
      <c r="B1838" s="9"/>
      <c r="C1838" s="8"/>
    </row>
    <row r="1839" spans="1:3" x14ac:dyDescent="0.25">
      <c r="A1839" s="8"/>
      <c r="B1839" s="9"/>
      <c r="C1839" s="8"/>
    </row>
    <row r="1840" spans="1:3" x14ac:dyDescent="0.25">
      <c r="A1840" s="8"/>
      <c r="B1840" s="9"/>
      <c r="C1840" s="8"/>
    </row>
    <row r="1841" spans="1:3" x14ac:dyDescent="0.25">
      <c r="A1841" s="8"/>
      <c r="B1841" s="9"/>
      <c r="C1841" s="8"/>
    </row>
    <row r="1842" spans="1:3" x14ac:dyDescent="0.25">
      <c r="A1842" s="8"/>
      <c r="B1842" s="9"/>
      <c r="C1842" s="8"/>
    </row>
    <row r="1843" spans="1:3" x14ac:dyDescent="0.25">
      <c r="A1843" s="8"/>
      <c r="B1843" s="9"/>
      <c r="C1843" s="8"/>
    </row>
    <row r="1844" spans="1:3" x14ac:dyDescent="0.25">
      <c r="A1844" s="8"/>
      <c r="B1844" s="9"/>
      <c r="C1844" s="8"/>
    </row>
    <row r="1845" spans="1:3" x14ac:dyDescent="0.25">
      <c r="A1845" s="8"/>
      <c r="B1845" s="9"/>
      <c r="C1845" s="8"/>
    </row>
    <row r="1846" spans="1:3" x14ac:dyDescent="0.25">
      <c r="A1846" s="8"/>
      <c r="B1846" s="9"/>
      <c r="C1846" s="8"/>
    </row>
    <row r="1847" spans="1:3" x14ac:dyDescent="0.25">
      <c r="A1847" s="8"/>
      <c r="B1847" s="9"/>
      <c r="C1847" s="8"/>
    </row>
    <row r="1848" spans="1:3" x14ac:dyDescent="0.25">
      <c r="A1848" s="8"/>
      <c r="B1848" s="9"/>
      <c r="C1848" s="8"/>
    </row>
    <row r="1849" spans="1:3" x14ac:dyDescent="0.25">
      <c r="A1849" s="8"/>
      <c r="B1849" s="9"/>
      <c r="C1849" s="8"/>
    </row>
    <row r="1850" spans="1:3" x14ac:dyDescent="0.25">
      <c r="A1850" s="8"/>
      <c r="B1850" s="9"/>
      <c r="C1850" s="8"/>
    </row>
    <row r="1851" spans="1:3" x14ac:dyDescent="0.25">
      <c r="A1851" s="8"/>
      <c r="B1851" s="9"/>
      <c r="C1851" s="8"/>
    </row>
    <row r="1852" spans="1:3" x14ac:dyDescent="0.25">
      <c r="A1852" s="8"/>
      <c r="B1852" s="9"/>
      <c r="C1852" s="8"/>
    </row>
    <row r="1853" spans="1:3" x14ac:dyDescent="0.25">
      <c r="A1853" s="8"/>
      <c r="B1853" s="9"/>
      <c r="C1853" s="8"/>
    </row>
    <row r="1854" spans="1:3" x14ac:dyDescent="0.25">
      <c r="A1854" s="8"/>
      <c r="B1854" s="9"/>
      <c r="C1854" s="8"/>
    </row>
    <row r="1855" spans="1:3" x14ac:dyDescent="0.25">
      <c r="A1855" s="8"/>
      <c r="B1855" s="9"/>
      <c r="C1855" s="8"/>
    </row>
    <row r="1856" spans="1:3" x14ac:dyDescent="0.25">
      <c r="A1856" s="8"/>
      <c r="B1856" s="9"/>
      <c r="C1856" s="8"/>
    </row>
    <row r="1857" spans="1:3" x14ac:dyDescent="0.25">
      <c r="A1857" s="8"/>
      <c r="B1857" s="9"/>
      <c r="C1857" s="8"/>
    </row>
    <row r="1858" spans="1:3" x14ac:dyDescent="0.25">
      <c r="A1858" s="8"/>
      <c r="B1858" s="9"/>
      <c r="C1858" s="8"/>
    </row>
    <row r="1859" spans="1:3" x14ac:dyDescent="0.25">
      <c r="A1859" s="8"/>
      <c r="B1859" s="9"/>
      <c r="C1859" s="8"/>
    </row>
    <row r="1860" spans="1:3" x14ac:dyDescent="0.25">
      <c r="A1860" s="8"/>
      <c r="B1860" s="9"/>
      <c r="C1860" s="8"/>
    </row>
    <row r="1861" spans="1:3" x14ac:dyDescent="0.25">
      <c r="A1861" s="8"/>
      <c r="B1861" s="9"/>
      <c r="C1861" s="8"/>
    </row>
    <row r="1862" spans="1:3" x14ac:dyDescent="0.25">
      <c r="A1862" s="8"/>
      <c r="B1862" s="9"/>
      <c r="C1862" s="8"/>
    </row>
    <row r="1863" spans="1:3" x14ac:dyDescent="0.25">
      <c r="A1863" s="8"/>
      <c r="B1863" s="9"/>
      <c r="C1863" s="8"/>
    </row>
    <row r="1864" spans="1:3" x14ac:dyDescent="0.25">
      <c r="A1864" s="8"/>
      <c r="B1864" s="9"/>
      <c r="C1864" s="8"/>
    </row>
    <row r="1865" spans="1:3" x14ac:dyDescent="0.25">
      <c r="A1865" s="8"/>
      <c r="B1865" s="9"/>
      <c r="C1865" s="8"/>
    </row>
    <row r="1866" spans="1:3" x14ac:dyDescent="0.25">
      <c r="A1866" s="8"/>
      <c r="B1866" s="9"/>
      <c r="C1866" s="8"/>
    </row>
    <row r="1867" spans="1:3" x14ac:dyDescent="0.25">
      <c r="A1867" s="8"/>
      <c r="B1867" s="9"/>
      <c r="C1867" s="8"/>
    </row>
    <row r="1868" spans="1:3" x14ac:dyDescent="0.25">
      <c r="A1868" s="8"/>
      <c r="B1868" s="9"/>
      <c r="C1868" s="8"/>
    </row>
    <row r="1869" spans="1:3" x14ac:dyDescent="0.25">
      <c r="A1869" s="8"/>
      <c r="B1869" s="9"/>
      <c r="C1869" s="8"/>
    </row>
    <row r="1870" spans="1:3" x14ac:dyDescent="0.25">
      <c r="A1870" s="8"/>
      <c r="B1870" s="9"/>
      <c r="C1870" s="8"/>
    </row>
    <row r="1871" spans="1:3" x14ac:dyDescent="0.25">
      <c r="A1871" s="8"/>
      <c r="B1871" s="9"/>
      <c r="C1871" s="8"/>
    </row>
    <row r="1872" spans="1:3" x14ac:dyDescent="0.25">
      <c r="A1872" s="8"/>
      <c r="B1872" s="9"/>
      <c r="C1872" s="8"/>
    </row>
    <row r="1873" spans="1:3" x14ac:dyDescent="0.25">
      <c r="A1873" s="8"/>
      <c r="B1873" s="9"/>
      <c r="C1873" s="8"/>
    </row>
    <row r="1874" spans="1:3" x14ac:dyDescent="0.25">
      <c r="A1874" s="8"/>
      <c r="B1874" s="9"/>
      <c r="C1874" s="8"/>
    </row>
    <row r="1875" spans="1:3" x14ac:dyDescent="0.25">
      <c r="A1875" s="8"/>
      <c r="B1875" s="9"/>
      <c r="C1875" s="8"/>
    </row>
    <row r="1876" spans="1:3" x14ac:dyDescent="0.25">
      <c r="A1876" s="8"/>
      <c r="B1876" s="9"/>
      <c r="C1876" s="8"/>
    </row>
    <row r="1877" spans="1:3" x14ac:dyDescent="0.25">
      <c r="A1877" s="8"/>
      <c r="B1877" s="9"/>
      <c r="C1877" s="8"/>
    </row>
    <row r="1878" spans="1:3" x14ac:dyDescent="0.25">
      <c r="A1878" s="8"/>
      <c r="B1878" s="9"/>
      <c r="C1878" s="8"/>
    </row>
    <row r="1879" spans="1:3" x14ac:dyDescent="0.25">
      <c r="A1879" s="8"/>
      <c r="B1879" s="9"/>
      <c r="C1879" s="8"/>
    </row>
    <row r="1880" spans="1:3" x14ac:dyDescent="0.25">
      <c r="A1880" s="8"/>
      <c r="B1880" s="9"/>
      <c r="C1880" s="8"/>
    </row>
    <row r="1881" spans="1:3" x14ac:dyDescent="0.25">
      <c r="A1881" s="8"/>
      <c r="B1881" s="9"/>
      <c r="C1881" s="8"/>
    </row>
    <row r="1882" spans="1:3" x14ac:dyDescent="0.25">
      <c r="A1882" s="8"/>
      <c r="B1882" s="9"/>
      <c r="C1882" s="8"/>
    </row>
    <row r="1883" spans="1:3" x14ac:dyDescent="0.25">
      <c r="A1883" s="8"/>
      <c r="B1883" s="9"/>
      <c r="C1883" s="8"/>
    </row>
    <row r="1884" spans="1:3" x14ac:dyDescent="0.25">
      <c r="A1884" s="8"/>
      <c r="B1884" s="9"/>
      <c r="C1884" s="8"/>
    </row>
    <row r="1885" spans="1:3" x14ac:dyDescent="0.25">
      <c r="A1885" s="8"/>
      <c r="B1885" s="9"/>
      <c r="C1885" s="8"/>
    </row>
    <row r="1886" spans="1:3" x14ac:dyDescent="0.25">
      <c r="A1886" s="8"/>
      <c r="B1886" s="9"/>
      <c r="C1886" s="8"/>
    </row>
    <row r="1887" spans="1:3" x14ac:dyDescent="0.25">
      <c r="A1887" s="8"/>
      <c r="B1887" s="9"/>
      <c r="C1887" s="8"/>
    </row>
    <row r="1888" spans="1:3" x14ac:dyDescent="0.25">
      <c r="A1888" s="8"/>
      <c r="B1888" s="9"/>
      <c r="C1888" s="8"/>
    </row>
    <row r="1889" spans="1:3" x14ac:dyDescent="0.25">
      <c r="A1889" s="8"/>
      <c r="B1889" s="9"/>
      <c r="C1889" s="8"/>
    </row>
    <row r="1890" spans="1:3" x14ac:dyDescent="0.25">
      <c r="A1890" s="8"/>
      <c r="B1890" s="9"/>
      <c r="C1890" s="8"/>
    </row>
    <row r="1891" spans="1:3" x14ac:dyDescent="0.25">
      <c r="A1891" s="8"/>
      <c r="B1891" s="9"/>
      <c r="C1891" s="8"/>
    </row>
    <row r="1892" spans="1:3" x14ac:dyDescent="0.25">
      <c r="A1892" s="8"/>
      <c r="B1892" s="9"/>
      <c r="C1892" s="8"/>
    </row>
    <row r="1893" spans="1:3" x14ac:dyDescent="0.25">
      <c r="A1893" s="8"/>
      <c r="B1893" s="9"/>
      <c r="C1893" s="8"/>
    </row>
    <row r="1894" spans="1:3" x14ac:dyDescent="0.25">
      <c r="A1894" s="8"/>
      <c r="B1894" s="9"/>
      <c r="C1894" s="8"/>
    </row>
    <row r="1895" spans="1:3" x14ac:dyDescent="0.25">
      <c r="A1895" s="8"/>
      <c r="B1895" s="9"/>
      <c r="C1895" s="8"/>
    </row>
    <row r="1896" spans="1:3" x14ac:dyDescent="0.25">
      <c r="A1896" s="8"/>
      <c r="B1896" s="9"/>
      <c r="C1896" s="8"/>
    </row>
    <row r="1897" spans="1:3" x14ac:dyDescent="0.25">
      <c r="A1897" s="8"/>
      <c r="B1897" s="9"/>
      <c r="C1897" s="8"/>
    </row>
    <row r="1898" spans="1:3" x14ac:dyDescent="0.25">
      <c r="A1898" s="8"/>
      <c r="B1898" s="9"/>
      <c r="C1898" s="8"/>
    </row>
    <row r="1899" spans="1:3" x14ac:dyDescent="0.25">
      <c r="A1899" s="8"/>
      <c r="B1899" s="9"/>
      <c r="C1899" s="8"/>
    </row>
    <row r="1900" spans="1:3" x14ac:dyDescent="0.25">
      <c r="A1900" s="8"/>
      <c r="B1900" s="9"/>
      <c r="C1900" s="8"/>
    </row>
    <row r="1901" spans="1:3" x14ac:dyDescent="0.25">
      <c r="A1901" s="8"/>
      <c r="B1901" s="9"/>
      <c r="C1901" s="8"/>
    </row>
    <row r="1902" spans="1:3" x14ac:dyDescent="0.25">
      <c r="A1902" s="8"/>
      <c r="B1902" s="9"/>
      <c r="C1902" s="8"/>
    </row>
    <row r="1903" spans="1:3" x14ac:dyDescent="0.25">
      <c r="A1903" s="8"/>
      <c r="B1903" s="9"/>
      <c r="C1903" s="8"/>
    </row>
    <row r="1904" spans="1:3" x14ac:dyDescent="0.25">
      <c r="A1904" s="8"/>
      <c r="B1904" s="9"/>
      <c r="C1904" s="8"/>
    </row>
    <row r="1905" spans="1:3" x14ac:dyDescent="0.25">
      <c r="A1905" s="8"/>
      <c r="B1905" s="9"/>
      <c r="C1905" s="8"/>
    </row>
    <row r="1906" spans="1:3" x14ac:dyDescent="0.25">
      <c r="A1906" s="8"/>
      <c r="B1906" s="9"/>
      <c r="C1906" s="8"/>
    </row>
    <row r="1907" spans="1:3" x14ac:dyDescent="0.25">
      <c r="A1907" s="8"/>
      <c r="B1907" s="9"/>
      <c r="C1907" s="8"/>
    </row>
    <row r="1908" spans="1:3" x14ac:dyDescent="0.25">
      <c r="A1908" s="8"/>
      <c r="B1908" s="9"/>
      <c r="C1908" s="8"/>
    </row>
    <row r="1909" spans="1:3" x14ac:dyDescent="0.25">
      <c r="A1909" s="8"/>
      <c r="B1909" s="9"/>
      <c r="C1909" s="8"/>
    </row>
    <row r="1910" spans="1:3" x14ac:dyDescent="0.25">
      <c r="A1910" s="8"/>
      <c r="B1910" s="9"/>
      <c r="C1910" s="8"/>
    </row>
    <row r="1911" spans="1:3" x14ac:dyDescent="0.25">
      <c r="A1911" s="8"/>
      <c r="B1911" s="9"/>
      <c r="C1911" s="8"/>
    </row>
    <row r="1912" spans="1:3" x14ac:dyDescent="0.25">
      <c r="A1912" s="8"/>
      <c r="B1912" s="9"/>
      <c r="C1912" s="8"/>
    </row>
    <row r="1913" spans="1:3" x14ac:dyDescent="0.25">
      <c r="A1913" s="8"/>
      <c r="B1913" s="9"/>
      <c r="C1913" s="8"/>
    </row>
    <row r="1914" spans="1:3" x14ac:dyDescent="0.25">
      <c r="A1914" s="8"/>
      <c r="B1914" s="9"/>
      <c r="C1914" s="8"/>
    </row>
    <row r="1915" spans="1:3" x14ac:dyDescent="0.25">
      <c r="A1915" s="8"/>
      <c r="B1915" s="9"/>
      <c r="C1915" s="8"/>
    </row>
    <row r="1916" spans="1:3" x14ac:dyDescent="0.25">
      <c r="A1916" s="8"/>
      <c r="B1916" s="9"/>
      <c r="C1916" s="8"/>
    </row>
    <row r="1917" spans="1:3" x14ac:dyDescent="0.25">
      <c r="A1917" s="8"/>
      <c r="B1917" s="9"/>
      <c r="C1917" s="8"/>
    </row>
    <row r="1918" spans="1:3" x14ac:dyDescent="0.25">
      <c r="A1918" s="8"/>
      <c r="B1918" s="9"/>
      <c r="C1918" s="8"/>
    </row>
    <row r="1919" spans="1:3" x14ac:dyDescent="0.25">
      <c r="A1919" s="8"/>
      <c r="B1919" s="9"/>
      <c r="C1919" s="8"/>
    </row>
    <row r="1920" spans="1:3" x14ac:dyDescent="0.25">
      <c r="A1920" s="8"/>
      <c r="B1920" s="9"/>
      <c r="C1920" s="8"/>
    </row>
    <row r="1921" spans="1:3" x14ac:dyDescent="0.25">
      <c r="A1921" s="8"/>
      <c r="B1921" s="9"/>
      <c r="C1921" s="8"/>
    </row>
    <row r="1922" spans="1:3" x14ac:dyDescent="0.25">
      <c r="A1922" s="8"/>
      <c r="B1922" s="9"/>
      <c r="C1922" s="8"/>
    </row>
    <row r="1923" spans="1:3" x14ac:dyDescent="0.25">
      <c r="A1923" s="8"/>
      <c r="B1923" s="9"/>
      <c r="C1923" s="8"/>
    </row>
    <row r="1924" spans="1:3" x14ac:dyDescent="0.25">
      <c r="A1924" s="8"/>
      <c r="B1924" s="9"/>
      <c r="C1924" s="8"/>
    </row>
    <row r="1925" spans="1:3" x14ac:dyDescent="0.25">
      <c r="A1925" s="8"/>
      <c r="B1925" s="9"/>
      <c r="C1925" s="8"/>
    </row>
    <row r="1926" spans="1:3" x14ac:dyDescent="0.25">
      <c r="A1926" s="8"/>
      <c r="B1926" s="9"/>
      <c r="C1926" s="8"/>
    </row>
    <row r="1927" spans="1:3" x14ac:dyDescent="0.25">
      <c r="A1927" s="8"/>
      <c r="B1927" s="9"/>
      <c r="C1927" s="8"/>
    </row>
    <row r="1928" spans="1:3" x14ac:dyDescent="0.25">
      <c r="A1928" s="8"/>
      <c r="B1928" s="9"/>
      <c r="C1928" s="8"/>
    </row>
    <row r="1929" spans="1:3" x14ac:dyDescent="0.25">
      <c r="A1929" s="8"/>
      <c r="B1929" s="9"/>
      <c r="C1929" s="8"/>
    </row>
    <row r="1930" spans="1:3" x14ac:dyDescent="0.25">
      <c r="A1930" s="8"/>
      <c r="B1930" s="9"/>
      <c r="C1930" s="8"/>
    </row>
    <row r="1931" spans="1:3" x14ac:dyDescent="0.25">
      <c r="A1931" s="8"/>
      <c r="B1931" s="9"/>
      <c r="C1931" s="8"/>
    </row>
    <row r="1932" spans="1:3" x14ac:dyDescent="0.25">
      <c r="A1932" s="8"/>
      <c r="B1932" s="9"/>
      <c r="C1932" s="8"/>
    </row>
    <row r="1933" spans="1:3" x14ac:dyDescent="0.25">
      <c r="A1933" s="8"/>
      <c r="B1933" s="9"/>
      <c r="C1933" s="8"/>
    </row>
    <row r="1934" spans="1:3" x14ac:dyDescent="0.25">
      <c r="A1934" s="8"/>
      <c r="B1934" s="9"/>
      <c r="C1934" s="8"/>
    </row>
    <row r="1935" spans="1:3" x14ac:dyDescent="0.25">
      <c r="A1935" s="8"/>
      <c r="B1935" s="9"/>
      <c r="C1935" s="8"/>
    </row>
    <row r="1936" spans="1:3" x14ac:dyDescent="0.25">
      <c r="A1936" s="8"/>
      <c r="B1936" s="9"/>
      <c r="C1936" s="8"/>
    </row>
    <row r="1937" spans="1:3" x14ac:dyDescent="0.25">
      <c r="A1937" s="8"/>
      <c r="B1937" s="9"/>
      <c r="C1937" s="8"/>
    </row>
    <row r="1938" spans="1:3" x14ac:dyDescent="0.25">
      <c r="A1938" s="8"/>
      <c r="B1938" s="9"/>
      <c r="C1938" s="8"/>
    </row>
    <row r="1939" spans="1:3" x14ac:dyDescent="0.25">
      <c r="A1939" s="8"/>
      <c r="B1939" s="9"/>
      <c r="C1939" s="8"/>
    </row>
    <row r="1940" spans="1:3" x14ac:dyDescent="0.25">
      <c r="A1940" s="8"/>
      <c r="B1940" s="9"/>
      <c r="C1940" s="8"/>
    </row>
    <row r="1941" spans="1:3" x14ac:dyDescent="0.25">
      <c r="A1941" s="8"/>
      <c r="B1941" s="9"/>
      <c r="C1941" s="8"/>
    </row>
    <row r="1942" spans="1:3" x14ac:dyDescent="0.25">
      <c r="A1942" s="8"/>
      <c r="B1942" s="9"/>
      <c r="C1942" s="8"/>
    </row>
    <row r="1943" spans="1:3" x14ac:dyDescent="0.25">
      <c r="A1943" s="8"/>
      <c r="B1943" s="9"/>
      <c r="C1943" s="8"/>
    </row>
    <row r="1944" spans="1:3" x14ac:dyDescent="0.25">
      <c r="A1944" s="8"/>
      <c r="B1944" s="9"/>
      <c r="C1944" s="8"/>
    </row>
    <row r="1945" spans="1:3" x14ac:dyDescent="0.25">
      <c r="A1945" s="8"/>
      <c r="B1945" s="9"/>
      <c r="C1945" s="8"/>
    </row>
    <row r="1946" spans="1:3" x14ac:dyDescent="0.25">
      <c r="A1946" s="8"/>
      <c r="B1946" s="9"/>
      <c r="C1946" s="8"/>
    </row>
    <row r="1947" spans="1:3" x14ac:dyDescent="0.25">
      <c r="A1947" s="8"/>
      <c r="B1947" s="9"/>
      <c r="C1947" s="8"/>
    </row>
    <row r="1948" spans="1:3" x14ac:dyDescent="0.25">
      <c r="A1948" s="8"/>
      <c r="B1948" s="9"/>
      <c r="C1948" s="8"/>
    </row>
    <row r="1949" spans="1:3" x14ac:dyDescent="0.25">
      <c r="A1949" s="8"/>
      <c r="B1949" s="9"/>
      <c r="C1949" s="8"/>
    </row>
    <row r="1950" spans="1:3" x14ac:dyDescent="0.25">
      <c r="A1950" s="8"/>
      <c r="B1950" s="9"/>
      <c r="C1950" s="8"/>
    </row>
    <row r="1951" spans="1:3" x14ac:dyDescent="0.25">
      <c r="A1951" s="8"/>
      <c r="B1951" s="9"/>
      <c r="C1951" s="8"/>
    </row>
    <row r="1952" spans="1:3" x14ac:dyDescent="0.25">
      <c r="A1952" s="8"/>
      <c r="B1952" s="9"/>
      <c r="C1952" s="8"/>
    </row>
    <row r="1953" spans="1:3" x14ac:dyDescent="0.25">
      <c r="A1953" s="8"/>
      <c r="B1953" s="9"/>
      <c r="C1953" s="8"/>
    </row>
    <row r="1954" spans="1:3" x14ac:dyDescent="0.25">
      <c r="A1954" s="8"/>
      <c r="B1954" s="9"/>
      <c r="C1954" s="8"/>
    </row>
    <row r="1955" spans="1:3" x14ac:dyDescent="0.25">
      <c r="A1955" s="8"/>
      <c r="B1955" s="9"/>
      <c r="C1955" s="8"/>
    </row>
    <row r="1956" spans="1:3" x14ac:dyDescent="0.25">
      <c r="A1956" s="8"/>
      <c r="B1956" s="9"/>
      <c r="C1956" s="8"/>
    </row>
    <row r="1957" spans="1:3" x14ac:dyDescent="0.25">
      <c r="A1957" s="8"/>
      <c r="B1957" s="9"/>
      <c r="C1957" s="8"/>
    </row>
    <row r="1958" spans="1:3" x14ac:dyDescent="0.25">
      <c r="A1958" s="8"/>
      <c r="B1958" s="9"/>
      <c r="C1958" s="8"/>
    </row>
    <row r="1959" spans="1:3" x14ac:dyDescent="0.25">
      <c r="A1959" s="8"/>
      <c r="B1959" s="9"/>
      <c r="C1959" s="8"/>
    </row>
    <row r="1960" spans="1:3" x14ac:dyDescent="0.25">
      <c r="A1960" s="8"/>
      <c r="B1960" s="9"/>
      <c r="C1960" s="8"/>
    </row>
    <row r="1961" spans="1:3" x14ac:dyDescent="0.25">
      <c r="A1961" s="8"/>
      <c r="B1961" s="9"/>
      <c r="C1961" s="8"/>
    </row>
    <row r="1962" spans="1:3" x14ac:dyDescent="0.25">
      <c r="A1962" s="8"/>
      <c r="B1962" s="9"/>
      <c r="C1962" s="8"/>
    </row>
    <row r="1963" spans="1:3" x14ac:dyDescent="0.25">
      <c r="A1963" s="8"/>
      <c r="B1963" s="9"/>
      <c r="C1963" s="8"/>
    </row>
    <row r="1964" spans="1:3" x14ac:dyDescent="0.25">
      <c r="A1964" s="8"/>
      <c r="B1964" s="9"/>
      <c r="C1964" s="8"/>
    </row>
    <row r="1965" spans="1:3" x14ac:dyDescent="0.25">
      <c r="A1965" s="8"/>
      <c r="B1965" s="9"/>
      <c r="C1965" s="8"/>
    </row>
    <row r="1966" spans="1:3" x14ac:dyDescent="0.25">
      <c r="A1966" s="8"/>
      <c r="B1966" s="9"/>
      <c r="C1966" s="8"/>
    </row>
    <row r="1967" spans="1:3" x14ac:dyDescent="0.25">
      <c r="A1967" s="8"/>
      <c r="B1967" s="9"/>
      <c r="C1967" s="8"/>
    </row>
    <row r="1968" spans="1:3" x14ac:dyDescent="0.25">
      <c r="A1968" s="8"/>
      <c r="B1968" s="9"/>
      <c r="C1968" s="8"/>
    </row>
    <row r="1969" spans="1:3" x14ac:dyDescent="0.25">
      <c r="A1969" s="8"/>
      <c r="B1969" s="9"/>
      <c r="C1969" s="8"/>
    </row>
    <row r="1970" spans="1:3" x14ac:dyDescent="0.25">
      <c r="A1970" s="8"/>
      <c r="B1970" s="9"/>
      <c r="C1970" s="8"/>
    </row>
    <row r="1971" spans="1:3" x14ac:dyDescent="0.25">
      <c r="A1971" s="8"/>
      <c r="B1971" s="9"/>
      <c r="C1971" s="8"/>
    </row>
    <row r="1972" spans="1:3" x14ac:dyDescent="0.25">
      <c r="A1972" s="8"/>
      <c r="B1972" s="9"/>
      <c r="C1972" s="8"/>
    </row>
    <row r="1973" spans="1:3" x14ac:dyDescent="0.25">
      <c r="A1973" s="8"/>
      <c r="B1973" s="9"/>
      <c r="C1973" s="8"/>
    </row>
    <row r="1974" spans="1:3" x14ac:dyDescent="0.25">
      <c r="A1974" s="8"/>
      <c r="B1974" s="9"/>
      <c r="C1974" s="8"/>
    </row>
    <row r="1975" spans="1:3" x14ac:dyDescent="0.25">
      <c r="A1975" s="8"/>
      <c r="B1975" s="9"/>
      <c r="C1975" s="8"/>
    </row>
    <row r="1976" spans="1:3" x14ac:dyDescent="0.25">
      <c r="A1976" s="8"/>
      <c r="B1976" s="9"/>
      <c r="C1976" s="8"/>
    </row>
    <row r="1977" spans="1:3" x14ac:dyDescent="0.25">
      <c r="A1977" s="8"/>
      <c r="B1977" s="9"/>
      <c r="C1977" s="8"/>
    </row>
    <row r="1978" spans="1:3" x14ac:dyDescent="0.25">
      <c r="A1978" s="8"/>
      <c r="B1978" s="9"/>
      <c r="C1978" s="8"/>
    </row>
    <row r="1979" spans="1:3" x14ac:dyDescent="0.25">
      <c r="A1979" s="8"/>
      <c r="B1979" s="9"/>
      <c r="C1979" s="8"/>
    </row>
    <row r="1980" spans="1:3" x14ac:dyDescent="0.25">
      <c r="A1980" s="8"/>
      <c r="B1980" s="9"/>
      <c r="C1980" s="8"/>
    </row>
    <row r="1981" spans="1:3" x14ac:dyDescent="0.25">
      <c r="A1981" s="8"/>
      <c r="B1981" s="9"/>
      <c r="C1981" s="8"/>
    </row>
    <row r="1982" spans="1:3" x14ac:dyDescent="0.25">
      <c r="A1982" s="8"/>
      <c r="B1982" s="9"/>
      <c r="C1982" s="8"/>
    </row>
    <row r="1983" spans="1:3" x14ac:dyDescent="0.25">
      <c r="A1983" s="8"/>
      <c r="B1983" s="9"/>
      <c r="C1983" s="8"/>
    </row>
    <row r="1984" spans="1:3" x14ac:dyDescent="0.25">
      <c r="A1984" s="8"/>
      <c r="B1984" s="9"/>
      <c r="C1984" s="8"/>
    </row>
    <row r="1985" spans="1:3" x14ac:dyDescent="0.25">
      <c r="A1985" s="8"/>
      <c r="B1985" s="9"/>
      <c r="C1985" s="8"/>
    </row>
    <row r="1986" spans="1:3" x14ac:dyDescent="0.25">
      <c r="A1986" s="8"/>
      <c r="B1986" s="9"/>
      <c r="C1986" s="8"/>
    </row>
    <row r="1987" spans="1:3" x14ac:dyDescent="0.25">
      <c r="A1987" s="8"/>
      <c r="B1987" s="9"/>
      <c r="C1987" s="8"/>
    </row>
    <row r="1988" spans="1:3" x14ac:dyDescent="0.25">
      <c r="A1988" s="8"/>
      <c r="B1988" s="9"/>
      <c r="C1988" s="8"/>
    </row>
    <row r="1989" spans="1:3" x14ac:dyDescent="0.25">
      <c r="A1989" s="8"/>
      <c r="B1989" s="9"/>
      <c r="C1989" s="8"/>
    </row>
    <row r="1990" spans="1:3" x14ac:dyDescent="0.25">
      <c r="A1990" s="8"/>
      <c r="B1990" s="9"/>
      <c r="C1990" s="8"/>
    </row>
    <row r="1991" spans="1:3" x14ac:dyDescent="0.25">
      <c r="A1991" s="8"/>
      <c r="B1991" s="9"/>
      <c r="C1991" s="8"/>
    </row>
    <row r="1992" spans="1:3" x14ac:dyDescent="0.25">
      <c r="A1992" s="8"/>
      <c r="B1992" s="9"/>
      <c r="C1992" s="8"/>
    </row>
    <row r="1993" spans="1:3" x14ac:dyDescent="0.25">
      <c r="A1993" s="8"/>
      <c r="B1993" s="9"/>
      <c r="C1993" s="8"/>
    </row>
    <row r="1994" spans="1:3" x14ac:dyDescent="0.25">
      <c r="A1994" s="8"/>
      <c r="B1994" s="9"/>
      <c r="C1994" s="8"/>
    </row>
    <row r="1995" spans="1:3" x14ac:dyDescent="0.25">
      <c r="A1995" s="8"/>
      <c r="B1995" s="9"/>
      <c r="C1995" s="8"/>
    </row>
    <row r="1996" spans="1:3" x14ac:dyDescent="0.25">
      <c r="A1996" s="8"/>
      <c r="B1996" s="9"/>
      <c r="C1996" s="8"/>
    </row>
    <row r="1997" spans="1:3" x14ac:dyDescent="0.25">
      <c r="A1997" s="8"/>
      <c r="B1997" s="9"/>
      <c r="C1997" s="8"/>
    </row>
    <row r="1998" spans="1:3" x14ac:dyDescent="0.25">
      <c r="A1998" s="8"/>
      <c r="B1998" s="9"/>
      <c r="C1998" s="8"/>
    </row>
    <row r="1999" spans="1:3" x14ac:dyDescent="0.25">
      <c r="A1999" s="8"/>
      <c r="B1999" s="9"/>
      <c r="C1999" s="8"/>
    </row>
    <row r="2000" spans="1:3" x14ac:dyDescent="0.25">
      <c r="A2000" s="8"/>
      <c r="B2000" s="9"/>
      <c r="C2000" s="8"/>
    </row>
    <row r="2001" spans="1:3" x14ac:dyDescent="0.25">
      <c r="A2001" s="8"/>
      <c r="B2001" s="9"/>
      <c r="C2001" s="8"/>
    </row>
    <row r="2002" spans="1:3" x14ac:dyDescent="0.25">
      <c r="A2002" s="8"/>
      <c r="B2002" s="9"/>
      <c r="C2002" s="8"/>
    </row>
    <row r="2003" spans="1:3" x14ac:dyDescent="0.25">
      <c r="A2003" s="8"/>
      <c r="B2003" s="9"/>
      <c r="C2003" s="8"/>
    </row>
    <row r="2004" spans="1:3" x14ac:dyDescent="0.25">
      <c r="A2004" s="8"/>
      <c r="B2004" s="9"/>
      <c r="C2004" s="8"/>
    </row>
    <row r="2005" spans="1:3" x14ac:dyDescent="0.25">
      <c r="A2005" s="8"/>
      <c r="B2005" s="9"/>
      <c r="C2005" s="8"/>
    </row>
    <row r="2006" spans="1:3" x14ac:dyDescent="0.25">
      <c r="A2006" s="8"/>
      <c r="B2006" s="9"/>
      <c r="C2006" s="8"/>
    </row>
    <row r="2007" spans="1:3" x14ac:dyDescent="0.25">
      <c r="A2007" s="8"/>
      <c r="B2007" s="9"/>
      <c r="C2007" s="8"/>
    </row>
    <row r="2008" spans="1:3" x14ac:dyDescent="0.25">
      <c r="A2008" s="8"/>
      <c r="B2008" s="9"/>
      <c r="C2008" s="8"/>
    </row>
    <row r="2009" spans="1:3" x14ac:dyDescent="0.25">
      <c r="A2009" s="8"/>
      <c r="B2009" s="9"/>
      <c r="C2009" s="8"/>
    </row>
    <row r="2010" spans="1:3" x14ac:dyDescent="0.25">
      <c r="A2010" s="8"/>
      <c r="B2010" s="9"/>
      <c r="C2010" s="8"/>
    </row>
    <row r="2011" spans="1:3" x14ac:dyDescent="0.25">
      <c r="A2011" s="8"/>
      <c r="B2011" s="9"/>
      <c r="C2011" s="8"/>
    </row>
    <row r="2012" spans="1:3" x14ac:dyDescent="0.25">
      <c r="A2012" s="8"/>
      <c r="B2012" s="9"/>
      <c r="C2012" s="8"/>
    </row>
    <row r="2013" spans="1:3" x14ac:dyDescent="0.25">
      <c r="A2013" s="8"/>
      <c r="B2013" s="9"/>
      <c r="C2013" s="8"/>
    </row>
    <row r="2014" spans="1:3" x14ac:dyDescent="0.25">
      <c r="A2014" s="8"/>
      <c r="B2014" s="9"/>
      <c r="C2014" s="8"/>
    </row>
    <row r="2015" spans="1:3" x14ac:dyDescent="0.25">
      <c r="A2015" s="8"/>
      <c r="B2015" s="9"/>
      <c r="C2015" s="8"/>
    </row>
    <row r="2016" spans="1:3" x14ac:dyDescent="0.25">
      <c r="A2016" s="8"/>
      <c r="B2016" s="9"/>
      <c r="C2016" s="8"/>
    </row>
    <row r="2017" spans="1:3" x14ac:dyDescent="0.25">
      <c r="A2017" s="8"/>
      <c r="B2017" s="9"/>
      <c r="C2017" s="8"/>
    </row>
    <row r="2018" spans="1:3" x14ac:dyDescent="0.25">
      <c r="A2018" s="8"/>
      <c r="B2018" s="9"/>
      <c r="C2018" s="8"/>
    </row>
    <row r="2019" spans="1:3" x14ac:dyDescent="0.25">
      <c r="A2019" s="8"/>
      <c r="B2019" s="9"/>
      <c r="C2019" s="8"/>
    </row>
    <row r="2020" spans="1:3" x14ac:dyDescent="0.25">
      <c r="A2020" s="8"/>
      <c r="B2020" s="9"/>
      <c r="C2020" s="8"/>
    </row>
    <row r="2021" spans="1:3" x14ac:dyDescent="0.25">
      <c r="A2021" s="8"/>
      <c r="B2021" s="9"/>
      <c r="C2021" s="8"/>
    </row>
    <row r="2022" spans="1:3" x14ac:dyDescent="0.25">
      <c r="A2022" s="8"/>
      <c r="B2022" s="9"/>
      <c r="C2022" s="8"/>
    </row>
    <row r="2023" spans="1:3" x14ac:dyDescent="0.25">
      <c r="A2023" s="8"/>
      <c r="B2023" s="9"/>
      <c r="C2023" s="8"/>
    </row>
    <row r="2024" spans="1:3" x14ac:dyDescent="0.25">
      <c r="A2024" s="8"/>
      <c r="B2024" s="9"/>
      <c r="C2024" s="8"/>
    </row>
    <row r="2025" spans="1:3" x14ac:dyDescent="0.25">
      <c r="A2025" s="8"/>
      <c r="B2025" s="9"/>
      <c r="C2025" s="8"/>
    </row>
    <row r="2026" spans="1:3" x14ac:dyDescent="0.25">
      <c r="A2026" s="8"/>
      <c r="B2026" s="9"/>
      <c r="C2026" s="8"/>
    </row>
    <row r="2027" spans="1:3" x14ac:dyDescent="0.25">
      <c r="A2027" s="8"/>
      <c r="B2027" s="9"/>
      <c r="C2027" s="8"/>
    </row>
    <row r="2028" spans="1:3" x14ac:dyDescent="0.25">
      <c r="A2028" s="8"/>
      <c r="B2028" s="9"/>
      <c r="C2028" s="8"/>
    </row>
    <row r="2029" spans="1:3" x14ac:dyDescent="0.25">
      <c r="A2029" s="8"/>
      <c r="B2029" s="9"/>
      <c r="C2029" s="8"/>
    </row>
    <row r="2030" spans="1:3" x14ac:dyDescent="0.25">
      <c r="A2030" s="8"/>
      <c r="B2030" s="9"/>
      <c r="C2030" s="8"/>
    </row>
    <row r="2031" spans="1:3" x14ac:dyDescent="0.25">
      <c r="A2031" s="8"/>
      <c r="B2031" s="9"/>
      <c r="C2031" s="8"/>
    </row>
    <row r="2032" spans="1:3" x14ac:dyDescent="0.25">
      <c r="A2032" s="8"/>
      <c r="B2032" s="9"/>
      <c r="C2032" s="8"/>
    </row>
    <row r="2033" spans="1:3" x14ac:dyDescent="0.25">
      <c r="A2033" s="8"/>
      <c r="B2033" s="9"/>
      <c r="C2033" s="8"/>
    </row>
    <row r="2034" spans="1:3" x14ac:dyDescent="0.25">
      <c r="A2034" s="8"/>
      <c r="B2034" s="9"/>
      <c r="C2034" s="8"/>
    </row>
    <row r="2035" spans="1:3" x14ac:dyDescent="0.25">
      <c r="A2035" s="8"/>
      <c r="B2035" s="9"/>
      <c r="C2035" s="8"/>
    </row>
    <row r="2036" spans="1:3" x14ac:dyDescent="0.25">
      <c r="A2036" s="8"/>
      <c r="B2036" s="9"/>
      <c r="C2036" s="8"/>
    </row>
    <row r="2037" spans="1:3" x14ac:dyDescent="0.25">
      <c r="A2037" s="8"/>
      <c r="B2037" s="9"/>
      <c r="C2037" s="8"/>
    </row>
    <row r="2038" spans="1:3" x14ac:dyDescent="0.25">
      <c r="A2038" s="8"/>
      <c r="B2038" s="9"/>
      <c r="C2038" s="8"/>
    </row>
    <row r="2039" spans="1:3" x14ac:dyDescent="0.25">
      <c r="A2039" s="8"/>
      <c r="B2039" s="9"/>
      <c r="C2039" s="8"/>
    </row>
    <row r="2040" spans="1:3" x14ac:dyDescent="0.25">
      <c r="A2040" s="8"/>
      <c r="B2040" s="9"/>
      <c r="C2040" s="8"/>
    </row>
    <row r="2041" spans="1:3" x14ac:dyDescent="0.25">
      <c r="A2041" s="8"/>
      <c r="B2041" s="9"/>
      <c r="C2041" s="8"/>
    </row>
    <row r="2042" spans="1:3" x14ac:dyDescent="0.25">
      <c r="A2042" s="8"/>
      <c r="B2042" s="9"/>
      <c r="C2042" s="8"/>
    </row>
    <row r="2043" spans="1:3" x14ac:dyDescent="0.25">
      <c r="A2043" s="8"/>
      <c r="B2043" s="9"/>
      <c r="C2043" s="8"/>
    </row>
    <row r="2044" spans="1:3" x14ac:dyDescent="0.25">
      <c r="A2044" s="8"/>
      <c r="B2044" s="9"/>
      <c r="C2044" s="8"/>
    </row>
    <row r="2045" spans="1:3" x14ac:dyDescent="0.25">
      <c r="A2045" s="8"/>
      <c r="B2045" s="9"/>
      <c r="C2045" s="8"/>
    </row>
    <row r="2046" spans="1:3" x14ac:dyDescent="0.25">
      <c r="A2046" s="8"/>
      <c r="B2046" s="9"/>
      <c r="C2046" s="8"/>
    </row>
    <row r="2047" spans="1:3" x14ac:dyDescent="0.25">
      <c r="A2047" s="8"/>
      <c r="B2047" s="9"/>
      <c r="C2047" s="8"/>
    </row>
    <row r="2048" spans="1:3" x14ac:dyDescent="0.25">
      <c r="A2048" s="8"/>
      <c r="B2048" s="9"/>
      <c r="C2048" s="8"/>
    </row>
    <row r="2049" spans="1:3" x14ac:dyDescent="0.25">
      <c r="A2049" s="8"/>
      <c r="B2049" s="9"/>
      <c r="C2049" s="8"/>
    </row>
    <row r="2050" spans="1:3" x14ac:dyDescent="0.25">
      <c r="A2050" s="8"/>
      <c r="B2050" s="9"/>
      <c r="C2050" s="8"/>
    </row>
    <row r="2051" spans="1:3" x14ac:dyDescent="0.25">
      <c r="A2051" s="8"/>
      <c r="B2051" s="9"/>
      <c r="C2051" s="8"/>
    </row>
    <row r="2052" spans="1:3" x14ac:dyDescent="0.25">
      <c r="A2052" s="8"/>
      <c r="B2052" s="9"/>
      <c r="C2052" s="8"/>
    </row>
    <row r="2053" spans="1:3" x14ac:dyDescent="0.25">
      <c r="A2053" s="8"/>
      <c r="B2053" s="9"/>
      <c r="C2053" s="8"/>
    </row>
    <row r="2054" spans="1:3" x14ac:dyDescent="0.25">
      <c r="A2054" s="8"/>
      <c r="B2054" s="9"/>
      <c r="C2054" s="8"/>
    </row>
    <row r="2055" spans="1:3" x14ac:dyDescent="0.25">
      <c r="A2055" s="8"/>
      <c r="B2055" s="9"/>
      <c r="C2055" s="8"/>
    </row>
    <row r="2056" spans="1:3" x14ac:dyDescent="0.25">
      <c r="A2056" s="8"/>
      <c r="B2056" s="9"/>
      <c r="C2056" s="8"/>
    </row>
    <row r="2057" spans="1:3" x14ac:dyDescent="0.25">
      <c r="A2057" s="8"/>
      <c r="B2057" s="9"/>
      <c r="C2057" s="8"/>
    </row>
    <row r="2058" spans="1:3" x14ac:dyDescent="0.25">
      <c r="A2058" s="8"/>
      <c r="B2058" s="9"/>
      <c r="C2058" s="8"/>
    </row>
    <row r="2059" spans="1:3" x14ac:dyDescent="0.25">
      <c r="A2059" s="8"/>
      <c r="B2059" s="9"/>
      <c r="C2059" s="8"/>
    </row>
    <row r="2060" spans="1:3" x14ac:dyDescent="0.25">
      <c r="A2060" s="8"/>
      <c r="B2060" s="9"/>
      <c r="C2060" s="8"/>
    </row>
    <row r="2061" spans="1:3" x14ac:dyDescent="0.25">
      <c r="A2061" s="8"/>
      <c r="B2061" s="9"/>
      <c r="C2061" s="8"/>
    </row>
    <row r="2062" spans="1:3" x14ac:dyDescent="0.25">
      <c r="A2062" s="8"/>
      <c r="B2062" s="9"/>
      <c r="C2062" s="8"/>
    </row>
    <row r="2063" spans="1:3" x14ac:dyDescent="0.25">
      <c r="A2063" s="8"/>
      <c r="B2063" s="9"/>
      <c r="C2063" s="8"/>
    </row>
    <row r="2064" spans="1:3" x14ac:dyDescent="0.25">
      <c r="A2064" s="8"/>
      <c r="B2064" s="9"/>
      <c r="C2064" s="8"/>
    </row>
    <row r="2065" spans="1:3" x14ac:dyDescent="0.25">
      <c r="A2065" s="8"/>
      <c r="B2065" s="9"/>
      <c r="C2065" s="8"/>
    </row>
    <row r="2066" spans="1:3" x14ac:dyDescent="0.25">
      <c r="A2066" s="8"/>
      <c r="B2066" s="9"/>
      <c r="C2066" s="8"/>
    </row>
    <row r="2067" spans="1:3" x14ac:dyDescent="0.25">
      <c r="A2067" s="8"/>
      <c r="B2067" s="9"/>
      <c r="C2067" s="8"/>
    </row>
    <row r="2068" spans="1:3" x14ac:dyDescent="0.25">
      <c r="A2068" s="8"/>
      <c r="B2068" s="9"/>
      <c r="C2068" s="8"/>
    </row>
    <row r="2069" spans="1:3" x14ac:dyDescent="0.25">
      <c r="A2069" s="8"/>
      <c r="B2069" s="9"/>
      <c r="C2069" s="8"/>
    </row>
    <row r="2070" spans="1:3" x14ac:dyDescent="0.25">
      <c r="A2070" s="8"/>
      <c r="B2070" s="9"/>
      <c r="C2070" s="8"/>
    </row>
    <row r="2071" spans="1:3" x14ac:dyDescent="0.25">
      <c r="A2071" s="8"/>
      <c r="B2071" s="9"/>
      <c r="C2071" s="8"/>
    </row>
    <row r="2072" spans="1:3" x14ac:dyDescent="0.25">
      <c r="A2072" s="8"/>
      <c r="B2072" s="9"/>
      <c r="C2072" s="8"/>
    </row>
    <row r="2073" spans="1:3" x14ac:dyDescent="0.25">
      <c r="A2073" s="8"/>
      <c r="B2073" s="9"/>
      <c r="C2073" s="8"/>
    </row>
    <row r="2074" spans="1:3" x14ac:dyDescent="0.25">
      <c r="A2074" s="8"/>
      <c r="B2074" s="9"/>
      <c r="C2074" s="8"/>
    </row>
    <row r="2075" spans="1:3" x14ac:dyDescent="0.25">
      <c r="A2075" s="8"/>
      <c r="B2075" s="9"/>
      <c r="C2075" s="8"/>
    </row>
    <row r="2076" spans="1:3" x14ac:dyDescent="0.25">
      <c r="A2076" s="8"/>
      <c r="B2076" s="9"/>
      <c r="C2076" s="8"/>
    </row>
    <row r="2077" spans="1:3" x14ac:dyDescent="0.25">
      <c r="A2077" s="8"/>
      <c r="B2077" s="9"/>
      <c r="C2077" s="8"/>
    </row>
    <row r="2078" spans="1:3" x14ac:dyDescent="0.25">
      <c r="A2078" s="8"/>
      <c r="B2078" s="9"/>
      <c r="C2078" s="8"/>
    </row>
    <row r="2079" spans="1:3" x14ac:dyDescent="0.25">
      <c r="A2079" s="8"/>
      <c r="B2079" s="9"/>
      <c r="C2079" s="8"/>
    </row>
    <row r="2080" spans="1:3" x14ac:dyDescent="0.25">
      <c r="A2080" s="8"/>
      <c r="B2080" s="9"/>
      <c r="C2080" s="8"/>
    </row>
    <row r="2081" spans="1:3" x14ac:dyDescent="0.25">
      <c r="A2081" s="8"/>
      <c r="B2081" s="9"/>
      <c r="C2081" s="8"/>
    </row>
    <row r="2082" spans="1:3" x14ac:dyDescent="0.25">
      <c r="A2082" s="8"/>
      <c r="B2082" s="9"/>
      <c r="C2082" s="8"/>
    </row>
    <row r="2083" spans="1:3" x14ac:dyDescent="0.25">
      <c r="A2083" s="8"/>
      <c r="B2083" s="9"/>
      <c r="C2083" s="8"/>
    </row>
    <row r="2084" spans="1:3" x14ac:dyDescent="0.25">
      <c r="A2084" s="8"/>
      <c r="B2084" s="9"/>
      <c r="C2084" s="8"/>
    </row>
    <row r="2085" spans="1:3" x14ac:dyDescent="0.25">
      <c r="A2085" s="8"/>
      <c r="B2085" s="9"/>
      <c r="C2085" s="8"/>
    </row>
    <row r="2086" spans="1:3" x14ac:dyDescent="0.25">
      <c r="A2086" s="8"/>
      <c r="B2086" s="9"/>
      <c r="C2086" s="8"/>
    </row>
    <row r="2087" spans="1:3" x14ac:dyDescent="0.25">
      <c r="A2087" s="8"/>
      <c r="B2087" s="9"/>
      <c r="C2087" s="8"/>
    </row>
    <row r="2088" spans="1:3" x14ac:dyDescent="0.25">
      <c r="A2088" s="8"/>
      <c r="B2088" s="9"/>
      <c r="C2088" s="8"/>
    </row>
    <row r="2089" spans="1:3" x14ac:dyDescent="0.25">
      <c r="A2089" s="8"/>
      <c r="B2089" s="9"/>
      <c r="C2089" s="8"/>
    </row>
    <row r="2090" spans="1:3" x14ac:dyDescent="0.25">
      <c r="A2090" s="8"/>
      <c r="B2090" s="9"/>
      <c r="C2090" s="8"/>
    </row>
    <row r="2091" spans="1:3" x14ac:dyDescent="0.25">
      <c r="A2091" s="8"/>
      <c r="B2091" s="9"/>
      <c r="C2091" s="8"/>
    </row>
    <row r="2092" spans="1:3" x14ac:dyDescent="0.25">
      <c r="A2092" s="8"/>
      <c r="B2092" s="9"/>
      <c r="C2092" s="8"/>
    </row>
    <row r="2093" spans="1:3" x14ac:dyDescent="0.25">
      <c r="A2093" s="8"/>
      <c r="B2093" s="9"/>
      <c r="C2093" s="8"/>
    </row>
    <row r="2094" spans="1:3" x14ac:dyDescent="0.25">
      <c r="A2094" s="8"/>
      <c r="B2094" s="9"/>
      <c r="C2094" s="8"/>
    </row>
    <row r="2095" spans="1:3" x14ac:dyDescent="0.25">
      <c r="A2095" s="8"/>
      <c r="B2095" s="9"/>
      <c r="C2095" s="8"/>
    </row>
    <row r="2096" spans="1:3" x14ac:dyDescent="0.25">
      <c r="A2096" s="8"/>
      <c r="B2096" s="9"/>
      <c r="C2096" s="8"/>
    </row>
    <row r="2097" spans="1:3" x14ac:dyDescent="0.25">
      <c r="A2097" s="8"/>
      <c r="B2097" s="9"/>
      <c r="C2097" s="8"/>
    </row>
    <row r="2098" spans="1:3" x14ac:dyDescent="0.25">
      <c r="A2098" s="8"/>
      <c r="B2098" s="9"/>
      <c r="C2098" s="8"/>
    </row>
    <row r="2099" spans="1:3" x14ac:dyDescent="0.25">
      <c r="A2099" s="8"/>
      <c r="B2099" s="9"/>
      <c r="C2099" s="8"/>
    </row>
    <row r="2100" spans="1:3" x14ac:dyDescent="0.25">
      <c r="A2100" s="8"/>
      <c r="B2100" s="9"/>
      <c r="C2100" s="8"/>
    </row>
    <row r="2101" spans="1:3" x14ac:dyDescent="0.25">
      <c r="A2101" s="8"/>
      <c r="B2101" s="9"/>
      <c r="C2101" s="8"/>
    </row>
    <row r="2102" spans="1:3" x14ac:dyDescent="0.25">
      <c r="A2102" s="8"/>
      <c r="B2102" s="9"/>
      <c r="C2102" s="8"/>
    </row>
    <row r="2103" spans="1:3" x14ac:dyDescent="0.25">
      <c r="A2103" s="8"/>
      <c r="B2103" s="9"/>
      <c r="C2103" s="8"/>
    </row>
    <row r="2104" spans="1:3" x14ac:dyDescent="0.25">
      <c r="A2104" s="8"/>
      <c r="B2104" s="9"/>
      <c r="C2104" s="8"/>
    </row>
    <row r="2105" spans="1:3" x14ac:dyDescent="0.25">
      <c r="A2105" s="8"/>
      <c r="B2105" s="9"/>
      <c r="C2105" s="8"/>
    </row>
    <row r="2106" spans="1:3" x14ac:dyDescent="0.25">
      <c r="A2106" s="8"/>
      <c r="B2106" s="9"/>
      <c r="C2106" s="8"/>
    </row>
    <row r="2107" spans="1:3" x14ac:dyDescent="0.25">
      <c r="A2107" s="8"/>
      <c r="B2107" s="9"/>
      <c r="C2107" s="8"/>
    </row>
    <row r="2108" spans="1:3" x14ac:dyDescent="0.25">
      <c r="A2108" s="8"/>
      <c r="B2108" s="9"/>
      <c r="C2108" s="8"/>
    </row>
    <row r="2109" spans="1:3" x14ac:dyDescent="0.25">
      <c r="A2109" s="8"/>
      <c r="B2109" s="9"/>
      <c r="C2109" s="8"/>
    </row>
    <row r="2110" spans="1:3" x14ac:dyDescent="0.25">
      <c r="A2110" s="8"/>
      <c r="B2110" s="9"/>
      <c r="C2110" s="8"/>
    </row>
    <row r="2111" spans="1:3" x14ac:dyDescent="0.25">
      <c r="A2111" s="8"/>
      <c r="B2111" s="9"/>
      <c r="C2111" s="8"/>
    </row>
    <row r="2112" spans="1:3" x14ac:dyDescent="0.25">
      <c r="A2112" s="8"/>
      <c r="B2112" s="9"/>
      <c r="C2112" s="8"/>
    </row>
    <row r="2113" spans="1:3" x14ac:dyDescent="0.25">
      <c r="A2113" s="8"/>
      <c r="B2113" s="9"/>
      <c r="C2113" s="8"/>
    </row>
    <row r="2114" spans="1:3" x14ac:dyDescent="0.25">
      <c r="A2114" s="8"/>
      <c r="B2114" s="9"/>
      <c r="C2114" s="8"/>
    </row>
    <row r="2115" spans="1:3" x14ac:dyDescent="0.25">
      <c r="A2115" s="8"/>
      <c r="B2115" s="9"/>
      <c r="C2115" s="8"/>
    </row>
    <row r="2116" spans="1:3" x14ac:dyDescent="0.25">
      <c r="A2116" s="8"/>
      <c r="B2116" s="9"/>
      <c r="C2116" s="8"/>
    </row>
    <row r="2117" spans="1:3" x14ac:dyDescent="0.25">
      <c r="A2117" s="8"/>
      <c r="B2117" s="9"/>
      <c r="C2117" s="8"/>
    </row>
    <row r="2118" spans="1:3" x14ac:dyDescent="0.25">
      <c r="A2118" s="8"/>
      <c r="B2118" s="9"/>
      <c r="C2118" s="8"/>
    </row>
    <row r="2119" spans="1:3" x14ac:dyDescent="0.25">
      <c r="A2119" s="8"/>
      <c r="B2119" s="9"/>
      <c r="C2119" s="8"/>
    </row>
    <row r="2120" spans="1:3" x14ac:dyDescent="0.25">
      <c r="A2120" s="8"/>
      <c r="B2120" s="9"/>
      <c r="C2120" s="8"/>
    </row>
    <row r="2121" spans="1:3" x14ac:dyDescent="0.25">
      <c r="A2121" s="8"/>
      <c r="B2121" s="9"/>
      <c r="C2121" s="8"/>
    </row>
    <row r="2122" spans="1:3" x14ac:dyDescent="0.25">
      <c r="A2122" s="8"/>
      <c r="B2122" s="9"/>
      <c r="C2122" s="8"/>
    </row>
    <row r="2123" spans="1:3" x14ac:dyDescent="0.25">
      <c r="A2123" s="8"/>
      <c r="B2123" s="9"/>
      <c r="C2123" s="8"/>
    </row>
    <row r="2124" spans="1:3" x14ac:dyDescent="0.25">
      <c r="A2124" s="8"/>
      <c r="B2124" s="9"/>
      <c r="C2124" s="8"/>
    </row>
    <row r="2125" spans="1:3" x14ac:dyDescent="0.25">
      <c r="A2125" s="8"/>
      <c r="B2125" s="9"/>
      <c r="C2125" s="8"/>
    </row>
    <row r="2126" spans="1:3" x14ac:dyDescent="0.25">
      <c r="A2126" s="8"/>
      <c r="B2126" s="9"/>
      <c r="C2126" s="8"/>
    </row>
    <row r="2127" spans="1:3" x14ac:dyDescent="0.25">
      <c r="A2127" s="8"/>
      <c r="B2127" s="9"/>
      <c r="C2127" s="8"/>
    </row>
    <row r="2128" spans="1:3" x14ac:dyDescent="0.25">
      <c r="A2128" s="8"/>
      <c r="B2128" s="9"/>
      <c r="C2128" s="8"/>
    </row>
    <row r="2129" spans="1:3" x14ac:dyDescent="0.25">
      <c r="A2129" s="8"/>
      <c r="B2129" s="9"/>
      <c r="C2129" s="8"/>
    </row>
    <row r="2130" spans="1:3" x14ac:dyDescent="0.25">
      <c r="A2130" s="8"/>
      <c r="B2130" s="9"/>
      <c r="C2130" s="8"/>
    </row>
    <row r="2131" spans="1:3" x14ac:dyDescent="0.25">
      <c r="A2131" s="8"/>
      <c r="B2131" s="9"/>
      <c r="C2131" s="8"/>
    </row>
    <row r="2132" spans="1:3" x14ac:dyDescent="0.25">
      <c r="A2132" s="8"/>
      <c r="B2132" s="9"/>
      <c r="C2132" s="8"/>
    </row>
    <row r="2133" spans="1:3" x14ac:dyDescent="0.25">
      <c r="A2133" s="8"/>
      <c r="B2133" s="9"/>
      <c r="C2133" s="8"/>
    </row>
    <row r="2134" spans="1:3" x14ac:dyDescent="0.25">
      <c r="A2134" s="8"/>
      <c r="B2134" s="9"/>
      <c r="C2134" s="8"/>
    </row>
    <row r="2135" spans="1:3" x14ac:dyDescent="0.25">
      <c r="A2135" s="8"/>
      <c r="B2135" s="9"/>
      <c r="C2135" s="8"/>
    </row>
    <row r="2136" spans="1:3" x14ac:dyDescent="0.25">
      <c r="A2136" s="8"/>
      <c r="B2136" s="9"/>
      <c r="C2136" s="8"/>
    </row>
    <row r="2137" spans="1:3" x14ac:dyDescent="0.25">
      <c r="A2137" s="8"/>
      <c r="B2137" s="9"/>
      <c r="C2137" s="8"/>
    </row>
    <row r="2138" spans="1:3" x14ac:dyDescent="0.25">
      <c r="A2138" s="8"/>
      <c r="B2138" s="9"/>
      <c r="C2138" s="8"/>
    </row>
    <row r="2139" spans="1:3" x14ac:dyDescent="0.25">
      <c r="A2139" s="8"/>
      <c r="B2139" s="9"/>
      <c r="C2139" s="8"/>
    </row>
    <row r="2140" spans="1:3" x14ac:dyDescent="0.25">
      <c r="A2140" s="8"/>
      <c r="B2140" s="9"/>
      <c r="C2140" s="8"/>
    </row>
    <row r="2141" spans="1:3" x14ac:dyDescent="0.25">
      <c r="A2141" s="8"/>
      <c r="B2141" s="9"/>
      <c r="C2141" s="8"/>
    </row>
    <row r="2142" spans="1:3" x14ac:dyDescent="0.25">
      <c r="A2142" s="8"/>
      <c r="B2142" s="9"/>
      <c r="C2142" s="8"/>
    </row>
    <row r="2143" spans="1:3" x14ac:dyDescent="0.25">
      <c r="A2143" s="8"/>
      <c r="B2143" s="9"/>
      <c r="C2143" s="8"/>
    </row>
    <row r="2144" spans="1:3" x14ac:dyDescent="0.25">
      <c r="A2144" s="8"/>
      <c r="B2144" s="9"/>
      <c r="C2144" s="8"/>
    </row>
    <row r="2145" spans="1:3" x14ac:dyDescent="0.25">
      <c r="A2145" s="8"/>
      <c r="B2145" s="9"/>
      <c r="C2145" s="8"/>
    </row>
    <row r="2146" spans="1:3" x14ac:dyDescent="0.25">
      <c r="A2146" s="8"/>
      <c r="B2146" s="9"/>
      <c r="C2146" s="8"/>
    </row>
    <row r="2147" spans="1:3" x14ac:dyDescent="0.25">
      <c r="A2147" s="8"/>
      <c r="B2147" s="9"/>
      <c r="C2147" s="8"/>
    </row>
    <row r="2148" spans="1:3" x14ac:dyDescent="0.25">
      <c r="A2148" s="8"/>
      <c r="B2148" s="9"/>
      <c r="C2148" s="8"/>
    </row>
    <row r="2149" spans="1:3" x14ac:dyDescent="0.25">
      <c r="A2149" s="8"/>
      <c r="B2149" s="9"/>
      <c r="C2149" s="8"/>
    </row>
    <row r="2150" spans="1:3" x14ac:dyDescent="0.25">
      <c r="A2150" s="8"/>
      <c r="B2150" s="9"/>
      <c r="C2150" s="8"/>
    </row>
    <row r="2151" spans="1:3" x14ac:dyDescent="0.25">
      <c r="A2151" s="8"/>
      <c r="B2151" s="9"/>
      <c r="C2151" s="8"/>
    </row>
    <row r="2152" spans="1:3" x14ac:dyDescent="0.25">
      <c r="A2152" s="8"/>
      <c r="B2152" s="9"/>
      <c r="C2152" s="8"/>
    </row>
    <row r="2153" spans="1:3" x14ac:dyDescent="0.25">
      <c r="A2153" s="8"/>
      <c r="B2153" s="9"/>
      <c r="C2153" s="8"/>
    </row>
    <row r="2154" spans="1:3" x14ac:dyDescent="0.25">
      <c r="A2154" s="8"/>
      <c r="B2154" s="9"/>
      <c r="C2154" s="8"/>
    </row>
    <row r="2155" spans="1:3" x14ac:dyDescent="0.25">
      <c r="A2155" s="8"/>
      <c r="B2155" s="9"/>
      <c r="C2155" s="8"/>
    </row>
    <row r="2156" spans="1:3" x14ac:dyDescent="0.25">
      <c r="A2156" s="8"/>
      <c r="B2156" s="9"/>
      <c r="C2156" s="8"/>
    </row>
    <row r="2157" spans="1:3" x14ac:dyDescent="0.25">
      <c r="A2157" s="8"/>
      <c r="B2157" s="9"/>
      <c r="C2157" s="8"/>
    </row>
    <row r="2158" spans="1:3" x14ac:dyDescent="0.25">
      <c r="A2158" s="8"/>
      <c r="B2158" s="9"/>
      <c r="C2158" s="8"/>
    </row>
    <row r="2159" spans="1:3" x14ac:dyDescent="0.25">
      <c r="A2159" s="8"/>
      <c r="B2159" s="9"/>
      <c r="C2159" s="8"/>
    </row>
    <row r="2160" spans="1:3" x14ac:dyDescent="0.25">
      <c r="A2160" s="8"/>
      <c r="B2160" s="9"/>
      <c r="C2160" s="8"/>
    </row>
    <row r="2161" spans="1:3" x14ac:dyDescent="0.25">
      <c r="A2161" s="8"/>
      <c r="B2161" s="9"/>
      <c r="C2161" s="8"/>
    </row>
    <row r="2162" spans="1:3" x14ac:dyDescent="0.25">
      <c r="A2162" s="8"/>
      <c r="B2162" s="9"/>
      <c r="C2162" s="8"/>
    </row>
    <row r="2163" spans="1:3" x14ac:dyDescent="0.25">
      <c r="A2163" s="8"/>
      <c r="B2163" s="9"/>
      <c r="C2163" s="8"/>
    </row>
    <row r="2164" spans="1:3" x14ac:dyDescent="0.25">
      <c r="A2164" s="8"/>
      <c r="B2164" s="9"/>
      <c r="C2164" s="8"/>
    </row>
    <row r="2165" spans="1:3" x14ac:dyDescent="0.25">
      <c r="A2165" s="8"/>
      <c r="B2165" s="9"/>
      <c r="C2165" s="8"/>
    </row>
    <row r="2166" spans="1:3" x14ac:dyDescent="0.25">
      <c r="A2166" s="8"/>
      <c r="B2166" s="9"/>
      <c r="C2166" s="8"/>
    </row>
    <row r="2167" spans="1:3" x14ac:dyDescent="0.25">
      <c r="A2167" s="8"/>
      <c r="B2167" s="9"/>
      <c r="C2167" s="8"/>
    </row>
    <row r="2168" spans="1:3" x14ac:dyDescent="0.25">
      <c r="A2168" s="8"/>
      <c r="B2168" s="9"/>
      <c r="C2168" s="8"/>
    </row>
    <row r="2169" spans="1:3" x14ac:dyDescent="0.25">
      <c r="A2169" s="8"/>
      <c r="B2169" s="9"/>
      <c r="C2169" s="8"/>
    </row>
    <row r="2170" spans="1:3" x14ac:dyDescent="0.25">
      <c r="A2170" s="8"/>
      <c r="B2170" s="9"/>
      <c r="C2170" s="8"/>
    </row>
    <row r="2171" spans="1:3" x14ac:dyDescent="0.25">
      <c r="A2171" s="8"/>
      <c r="B2171" s="9"/>
      <c r="C2171" s="8"/>
    </row>
    <row r="2172" spans="1:3" x14ac:dyDescent="0.25">
      <c r="A2172" s="8"/>
      <c r="B2172" s="9"/>
      <c r="C2172" s="8"/>
    </row>
    <row r="2173" spans="1:3" x14ac:dyDescent="0.25">
      <c r="A2173" s="8"/>
      <c r="B2173" s="9"/>
      <c r="C2173" s="8"/>
    </row>
    <row r="2174" spans="1:3" x14ac:dyDescent="0.25">
      <c r="A2174" s="8"/>
      <c r="B2174" s="9"/>
      <c r="C2174" s="8"/>
    </row>
    <row r="2175" spans="1:3" x14ac:dyDescent="0.25">
      <c r="A2175" s="8"/>
      <c r="B2175" s="9"/>
      <c r="C2175" s="8"/>
    </row>
    <row r="2176" spans="1:3" x14ac:dyDescent="0.25">
      <c r="A2176" s="8"/>
      <c r="B2176" s="9"/>
      <c r="C2176" s="8"/>
    </row>
    <row r="2177" spans="1:3" x14ac:dyDescent="0.25">
      <c r="A2177" s="8"/>
      <c r="B2177" s="9"/>
      <c r="C2177" s="8"/>
    </row>
    <row r="2178" spans="1:3" x14ac:dyDescent="0.25">
      <c r="A2178" s="8"/>
      <c r="B2178" s="9"/>
      <c r="C2178" s="8"/>
    </row>
    <row r="2179" spans="1:3" x14ac:dyDescent="0.25">
      <c r="A2179" s="8"/>
      <c r="B2179" s="9"/>
      <c r="C2179" s="8"/>
    </row>
    <row r="2180" spans="1:3" x14ac:dyDescent="0.25">
      <c r="A2180" s="8"/>
      <c r="B2180" s="9"/>
      <c r="C2180" s="8"/>
    </row>
    <row r="2181" spans="1:3" x14ac:dyDescent="0.25">
      <c r="A2181" s="8"/>
      <c r="B2181" s="9"/>
      <c r="C2181" s="8"/>
    </row>
    <row r="2182" spans="1:3" x14ac:dyDescent="0.25">
      <c r="A2182" s="8"/>
      <c r="B2182" s="9"/>
      <c r="C2182" s="8"/>
    </row>
    <row r="2183" spans="1:3" x14ac:dyDescent="0.25">
      <c r="A2183" s="8"/>
      <c r="B2183" s="9"/>
      <c r="C2183" s="8"/>
    </row>
    <row r="2184" spans="1:3" x14ac:dyDescent="0.25">
      <c r="A2184" s="8"/>
      <c r="B2184" s="9"/>
      <c r="C2184" s="8"/>
    </row>
    <row r="2185" spans="1:3" x14ac:dyDescent="0.25">
      <c r="A2185" s="8"/>
      <c r="B2185" s="9"/>
      <c r="C2185" s="8"/>
    </row>
    <row r="2186" spans="1:3" x14ac:dyDescent="0.25">
      <c r="A2186" s="8"/>
      <c r="B2186" s="9"/>
      <c r="C2186" s="8"/>
    </row>
    <row r="2187" spans="1:3" x14ac:dyDescent="0.25">
      <c r="A2187" s="8"/>
      <c r="B2187" s="9"/>
      <c r="C2187" s="8"/>
    </row>
    <row r="2188" spans="1:3" x14ac:dyDescent="0.25">
      <c r="A2188" s="8"/>
      <c r="B2188" s="9"/>
      <c r="C2188" s="8"/>
    </row>
    <row r="2189" spans="1:3" x14ac:dyDescent="0.25">
      <c r="A2189" s="8"/>
      <c r="B2189" s="9"/>
      <c r="C2189" s="8"/>
    </row>
    <row r="2190" spans="1:3" x14ac:dyDescent="0.25">
      <c r="A2190" s="8"/>
      <c r="B2190" s="9"/>
      <c r="C2190" s="8"/>
    </row>
    <row r="2191" spans="1:3" x14ac:dyDescent="0.25">
      <c r="A2191" s="8"/>
      <c r="B2191" s="9"/>
      <c r="C2191" s="8"/>
    </row>
    <row r="2192" spans="1:3" x14ac:dyDescent="0.25">
      <c r="A2192" s="8"/>
      <c r="B2192" s="9"/>
      <c r="C2192" s="8"/>
    </row>
    <row r="2193" spans="1:3" x14ac:dyDescent="0.25">
      <c r="A2193" s="8"/>
      <c r="B2193" s="9"/>
      <c r="C2193" s="8"/>
    </row>
    <row r="2194" spans="1:3" x14ac:dyDescent="0.25">
      <c r="A2194" s="8"/>
      <c r="B2194" s="9"/>
      <c r="C2194" s="8"/>
    </row>
    <row r="2195" spans="1:3" x14ac:dyDescent="0.25">
      <c r="A2195" s="8"/>
      <c r="B2195" s="9"/>
      <c r="C2195" s="8"/>
    </row>
    <row r="2196" spans="1:3" x14ac:dyDescent="0.25">
      <c r="A2196" s="8"/>
      <c r="B2196" s="9"/>
      <c r="C2196" s="8"/>
    </row>
    <row r="2197" spans="1:3" x14ac:dyDescent="0.25">
      <c r="A2197" s="8"/>
      <c r="B2197" s="9"/>
      <c r="C2197" s="8"/>
    </row>
    <row r="2198" spans="1:3" x14ac:dyDescent="0.25">
      <c r="A2198" s="8"/>
      <c r="B2198" s="9"/>
      <c r="C2198" s="8"/>
    </row>
    <row r="2199" spans="1:3" x14ac:dyDescent="0.25">
      <c r="A2199" s="8"/>
      <c r="B2199" s="9"/>
      <c r="C2199" s="8"/>
    </row>
    <row r="2200" spans="1:3" x14ac:dyDescent="0.25">
      <c r="A2200" s="8"/>
      <c r="B2200" s="9"/>
      <c r="C2200" s="8"/>
    </row>
    <row r="2201" spans="1:3" x14ac:dyDescent="0.25">
      <c r="A2201" s="8"/>
      <c r="B2201" s="9"/>
      <c r="C2201" s="8"/>
    </row>
    <row r="2202" spans="1:3" x14ac:dyDescent="0.25">
      <c r="A2202" s="8"/>
      <c r="B2202" s="9"/>
      <c r="C2202" s="8"/>
    </row>
    <row r="2203" spans="1:3" x14ac:dyDescent="0.25">
      <c r="A2203" s="8"/>
      <c r="B2203" s="9"/>
      <c r="C2203" s="8"/>
    </row>
    <row r="2204" spans="1:3" x14ac:dyDescent="0.25">
      <c r="A2204" s="8"/>
      <c r="B2204" s="9"/>
      <c r="C2204" s="8"/>
    </row>
    <row r="2205" spans="1:3" x14ac:dyDescent="0.25">
      <c r="A2205" s="8"/>
      <c r="B2205" s="9"/>
      <c r="C2205" s="8"/>
    </row>
    <row r="2206" spans="1:3" x14ac:dyDescent="0.25">
      <c r="A2206" s="8"/>
      <c r="B2206" s="9"/>
      <c r="C2206" s="8"/>
    </row>
    <row r="2207" spans="1:3" x14ac:dyDescent="0.25">
      <c r="A2207" s="8"/>
      <c r="B2207" s="9"/>
      <c r="C2207" s="8"/>
    </row>
    <row r="2208" spans="1:3" x14ac:dyDescent="0.25">
      <c r="A2208" s="8"/>
      <c r="B2208" s="9"/>
      <c r="C2208" s="8"/>
    </row>
    <row r="2209" spans="1:3" x14ac:dyDescent="0.25">
      <c r="A2209" s="8"/>
      <c r="B2209" s="9"/>
      <c r="C2209" s="8"/>
    </row>
    <row r="2210" spans="1:3" x14ac:dyDescent="0.25">
      <c r="A2210" s="8"/>
      <c r="B2210" s="9"/>
      <c r="C2210" s="8"/>
    </row>
    <row r="2211" spans="1:3" x14ac:dyDescent="0.25">
      <c r="A2211" s="8"/>
      <c r="B2211" s="9"/>
      <c r="C2211" s="8"/>
    </row>
    <row r="2212" spans="1:3" x14ac:dyDescent="0.25">
      <c r="A2212" s="8"/>
      <c r="B2212" s="9"/>
      <c r="C2212" s="8"/>
    </row>
    <row r="2213" spans="1:3" x14ac:dyDescent="0.25">
      <c r="A2213" s="8"/>
      <c r="B2213" s="9"/>
      <c r="C2213" s="8"/>
    </row>
    <row r="2214" spans="1:3" x14ac:dyDescent="0.25">
      <c r="A2214" s="8"/>
      <c r="B2214" s="9"/>
      <c r="C2214" s="8"/>
    </row>
    <row r="2215" spans="1:3" x14ac:dyDescent="0.25">
      <c r="A2215" s="8"/>
      <c r="B2215" s="9"/>
      <c r="C2215" s="8"/>
    </row>
    <row r="2216" spans="1:3" x14ac:dyDescent="0.25">
      <c r="A2216" s="8"/>
      <c r="B2216" s="9"/>
      <c r="C2216" s="8"/>
    </row>
    <row r="2217" spans="1:3" x14ac:dyDescent="0.25">
      <c r="A2217" s="8"/>
      <c r="B2217" s="9"/>
      <c r="C2217" s="8"/>
    </row>
    <row r="2218" spans="1:3" x14ac:dyDescent="0.25">
      <c r="A2218" s="8"/>
      <c r="B2218" s="9"/>
      <c r="C2218" s="8"/>
    </row>
    <row r="2219" spans="1:3" x14ac:dyDescent="0.25">
      <c r="A2219" s="8"/>
      <c r="B2219" s="9"/>
      <c r="C2219" s="8"/>
    </row>
    <row r="2220" spans="1:3" x14ac:dyDescent="0.25">
      <c r="A2220" s="8"/>
      <c r="B2220" s="9"/>
      <c r="C2220" s="8"/>
    </row>
    <row r="2221" spans="1:3" x14ac:dyDescent="0.25">
      <c r="A2221" s="8"/>
      <c r="B2221" s="9"/>
      <c r="C2221" s="8"/>
    </row>
    <row r="2222" spans="1:3" x14ac:dyDescent="0.25">
      <c r="A2222" s="8"/>
      <c r="B2222" s="9"/>
      <c r="C2222" s="8"/>
    </row>
    <row r="2223" spans="1:3" x14ac:dyDescent="0.25">
      <c r="A2223" s="8"/>
      <c r="B2223" s="9"/>
      <c r="C2223" s="8"/>
    </row>
    <row r="2224" spans="1:3" x14ac:dyDescent="0.25">
      <c r="A2224" s="8"/>
      <c r="B2224" s="9"/>
      <c r="C2224" s="8"/>
    </row>
    <row r="2225" spans="1:3" x14ac:dyDescent="0.25">
      <c r="A2225" s="8"/>
      <c r="B2225" s="9"/>
      <c r="C2225" s="8"/>
    </row>
    <row r="2226" spans="1:3" x14ac:dyDescent="0.25">
      <c r="A2226" s="8"/>
      <c r="B2226" s="9"/>
      <c r="C2226" s="8"/>
    </row>
    <row r="2227" spans="1:3" x14ac:dyDescent="0.25">
      <c r="A2227" s="8"/>
      <c r="B2227" s="9"/>
      <c r="C2227" s="8"/>
    </row>
    <row r="2228" spans="1:3" x14ac:dyDescent="0.25">
      <c r="A2228" s="8"/>
      <c r="B2228" s="9"/>
      <c r="C2228" s="8"/>
    </row>
    <row r="2229" spans="1:3" x14ac:dyDescent="0.25">
      <c r="A2229" s="8"/>
      <c r="B2229" s="9"/>
      <c r="C2229" s="8"/>
    </row>
    <row r="2230" spans="1:3" x14ac:dyDescent="0.25">
      <c r="A2230" s="8"/>
      <c r="B2230" s="9"/>
      <c r="C2230" s="8"/>
    </row>
    <row r="2231" spans="1:3" x14ac:dyDescent="0.25">
      <c r="A2231" s="8"/>
      <c r="B2231" s="9"/>
      <c r="C2231" s="8"/>
    </row>
    <row r="2232" spans="1:3" x14ac:dyDescent="0.25">
      <c r="A2232" s="8"/>
      <c r="B2232" s="9"/>
      <c r="C2232" s="8"/>
    </row>
    <row r="2233" spans="1:3" x14ac:dyDescent="0.25">
      <c r="A2233" s="8"/>
      <c r="B2233" s="9"/>
      <c r="C2233" s="8"/>
    </row>
    <row r="2234" spans="1:3" x14ac:dyDescent="0.25">
      <c r="A2234" s="8"/>
      <c r="B2234" s="9"/>
      <c r="C2234" s="8"/>
    </row>
    <row r="2235" spans="1:3" x14ac:dyDescent="0.25">
      <c r="A2235" s="8"/>
      <c r="B2235" s="9"/>
      <c r="C2235" s="8"/>
    </row>
    <row r="2236" spans="1:3" x14ac:dyDescent="0.25">
      <c r="A2236" s="8"/>
      <c r="B2236" s="9"/>
      <c r="C2236" s="8"/>
    </row>
    <row r="2237" spans="1:3" x14ac:dyDescent="0.25">
      <c r="A2237" s="8"/>
      <c r="B2237" s="9"/>
      <c r="C2237" s="8"/>
    </row>
    <row r="2238" spans="1:3" x14ac:dyDescent="0.25">
      <c r="A2238" s="8"/>
      <c r="B2238" s="9"/>
      <c r="C2238" s="8"/>
    </row>
    <row r="2239" spans="1:3" x14ac:dyDescent="0.25">
      <c r="A2239" s="8"/>
      <c r="B2239" s="9"/>
      <c r="C2239" s="8"/>
    </row>
    <row r="2240" spans="1:3" x14ac:dyDescent="0.25">
      <c r="A2240" s="8"/>
      <c r="B2240" s="9"/>
      <c r="C2240" s="8"/>
    </row>
    <row r="2241" spans="1:3" x14ac:dyDescent="0.25">
      <c r="A2241" s="8"/>
      <c r="B2241" s="9"/>
      <c r="C2241" s="8"/>
    </row>
    <row r="2242" spans="1:3" x14ac:dyDescent="0.25">
      <c r="A2242" s="8"/>
      <c r="B2242" s="9"/>
      <c r="C2242" s="8"/>
    </row>
    <row r="2243" spans="1:3" x14ac:dyDescent="0.25">
      <c r="A2243" s="8"/>
      <c r="B2243" s="9"/>
      <c r="C2243" s="8"/>
    </row>
    <row r="2244" spans="1:3" x14ac:dyDescent="0.25">
      <c r="A2244" s="8"/>
      <c r="B2244" s="9"/>
      <c r="C2244" s="8"/>
    </row>
    <row r="2245" spans="1:3" x14ac:dyDescent="0.25">
      <c r="A2245" s="8"/>
      <c r="B2245" s="9"/>
      <c r="C2245" s="8"/>
    </row>
    <row r="2246" spans="1:3" x14ac:dyDescent="0.25">
      <c r="A2246" s="8"/>
      <c r="B2246" s="9"/>
      <c r="C2246" s="8"/>
    </row>
    <row r="2247" spans="1:3" x14ac:dyDescent="0.25">
      <c r="A2247" s="8"/>
      <c r="B2247" s="9"/>
      <c r="C2247" s="8"/>
    </row>
    <row r="2248" spans="1:3" x14ac:dyDescent="0.25">
      <c r="A2248" s="8"/>
      <c r="B2248" s="9"/>
      <c r="C2248" s="8"/>
    </row>
    <row r="2249" spans="1:3" x14ac:dyDescent="0.25">
      <c r="A2249" s="8"/>
      <c r="B2249" s="9"/>
      <c r="C2249" s="8"/>
    </row>
    <row r="2250" spans="1:3" x14ac:dyDescent="0.25">
      <c r="A2250" s="8"/>
      <c r="B2250" s="9"/>
      <c r="C2250" s="8"/>
    </row>
    <row r="2251" spans="1:3" x14ac:dyDescent="0.25">
      <c r="A2251" s="8"/>
      <c r="B2251" s="9"/>
      <c r="C2251" s="8"/>
    </row>
    <row r="2252" spans="1:3" x14ac:dyDescent="0.25">
      <c r="A2252" s="8"/>
      <c r="B2252" s="9"/>
      <c r="C2252" s="8"/>
    </row>
    <row r="2253" spans="1:3" x14ac:dyDescent="0.25">
      <c r="A2253" s="8"/>
      <c r="B2253" s="9"/>
      <c r="C2253" s="8"/>
    </row>
    <row r="2254" spans="1:3" x14ac:dyDescent="0.25">
      <c r="A2254" s="8"/>
      <c r="B2254" s="9"/>
      <c r="C2254" s="8"/>
    </row>
    <row r="2255" spans="1:3" x14ac:dyDescent="0.25">
      <c r="A2255" s="8"/>
      <c r="B2255" s="9"/>
      <c r="C2255" s="8"/>
    </row>
    <row r="2256" spans="1:3" x14ac:dyDescent="0.25">
      <c r="A2256" s="8"/>
      <c r="B2256" s="9"/>
      <c r="C2256" s="8"/>
    </row>
    <row r="2257" spans="1:3" x14ac:dyDescent="0.25">
      <c r="A2257" s="8"/>
      <c r="B2257" s="9"/>
      <c r="C2257" s="8"/>
    </row>
    <row r="2258" spans="1:3" x14ac:dyDescent="0.25">
      <c r="A2258" s="8"/>
      <c r="B2258" s="9"/>
      <c r="C2258" s="8"/>
    </row>
    <row r="2259" spans="1:3" x14ac:dyDescent="0.25">
      <c r="A2259" s="8"/>
      <c r="B2259" s="9"/>
      <c r="C2259" s="8"/>
    </row>
    <row r="2260" spans="1:3" x14ac:dyDescent="0.25">
      <c r="A2260" s="8"/>
      <c r="B2260" s="9"/>
      <c r="C2260" s="8"/>
    </row>
    <row r="2261" spans="1:3" x14ac:dyDescent="0.25">
      <c r="A2261" s="8"/>
      <c r="B2261" s="9"/>
      <c r="C2261" s="8"/>
    </row>
    <row r="2262" spans="1:3" x14ac:dyDescent="0.25">
      <c r="A2262" s="8"/>
      <c r="B2262" s="9"/>
      <c r="C2262" s="8"/>
    </row>
    <row r="2263" spans="1:3" x14ac:dyDescent="0.25">
      <c r="A2263" s="8"/>
      <c r="B2263" s="9"/>
      <c r="C2263" s="8"/>
    </row>
    <row r="2264" spans="1:3" x14ac:dyDescent="0.25">
      <c r="A2264" s="8"/>
      <c r="B2264" s="9"/>
      <c r="C2264" s="8"/>
    </row>
    <row r="2265" spans="1:3" x14ac:dyDescent="0.25">
      <c r="A2265" s="8"/>
      <c r="B2265" s="9"/>
      <c r="C2265" s="8"/>
    </row>
    <row r="2266" spans="1:3" x14ac:dyDescent="0.25">
      <c r="A2266" s="8"/>
      <c r="B2266" s="9"/>
      <c r="C2266" s="8"/>
    </row>
    <row r="2267" spans="1:3" x14ac:dyDescent="0.25">
      <c r="A2267" s="8"/>
      <c r="B2267" s="9"/>
      <c r="C2267" s="8"/>
    </row>
    <row r="2268" spans="1:3" x14ac:dyDescent="0.25">
      <c r="A2268" s="8"/>
      <c r="B2268" s="9"/>
      <c r="C2268" s="8"/>
    </row>
    <row r="2269" spans="1:3" x14ac:dyDescent="0.25">
      <c r="A2269" s="8"/>
      <c r="B2269" s="9"/>
      <c r="C2269" s="8"/>
    </row>
    <row r="2270" spans="1:3" x14ac:dyDescent="0.25">
      <c r="A2270" s="8"/>
      <c r="B2270" s="9"/>
      <c r="C2270" s="8"/>
    </row>
    <row r="2271" spans="1:3" x14ac:dyDescent="0.25">
      <c r="A2271" s="8"/>
      <c r="B2271" s="9"/>
      <c r="C2271" s="8"/>
    </row>
    <row r="2272" spans="1:3" x14ac:dyDescent="0.25">
      <c r="A2272" s="8"/>
      <c r="B2272" s="9"/>
      <c r="C2272" s="8"/>
    </row>
    <row r="2273" spans="1:3" x14ac:dyDescent="0.25">
      <c r="A2273" s="8"/>
      <c r="B2273" s="9"/>
      <c r="C2273" s="8"/>
    </row>
    <row r="2274" spans="1:3" x14ac:dyDescent="0.25">
      <c r="A2274" s="8"/>
      <c r="B2274" s="9"/>
      <c r="C2274" s="8"/>
    </row>
    <row r="2275" spans="1:3" x14ac:dyDescent="0.25">
      <c r="A2275" s="8"/>
      <c r="B2275" s="9"/>
      <c r="C2275" s="8"/>
    </row>
    <row r="2276" spans="1:3" x14ac:dyDescent="0.25">
      <c r="A2276" s="8"/>
      <c r="B2276" s="9"/>
      <c r="C2276" s="8"/>
    </row>
    <row r="2277" spans="1:3" x14ac:dyDescent="0.25">
      <c r="A2277" s="8"/>
      <c r="B2277" s="9"/>
      <c r="C2277" s="8"/>
    </row>
    <row r="2278" spans="1:3" x14ac:dyDescent="0.25">
      <c r="A2278" s="8"/>
      <c r="B2278" s="9"/>
      <c r="C2278" s="8"/>
    </row>
    <row r="2279" spans="1:3" x14ac:dyDescent="0.25">
      <c r="A2279" s="8"/>
      <c r="B2279" s="9"/>
      <c r="C2279" s="8"/>
    </row>
    <row r="2280" spans="1:3" x14ac:dyDescent="0.25">
      <c r="A2280" s="8"/>
      <c r="B2280" s="9"/>
      <c r="C2280" s="8"/>
    </row>
    <row r="2281" spans="1:3" x14ac:dyDescent="0.25">
      <c r="A2281" s="8"/>
      <c r="B2281" s="9"/>
      <c r="C2281" s="8"/>
    </row>
    <row r="2282" spans="1:3" x14ac:dyDescent="0.25">
      <c r="A2282" s="8"/>
      <c r="B2282" s="9"/>
      <c r="C2282" s="8"/>
    </row>
    <row r="2283" spans="1:3" x14ac:dyDescent="0.25">
      <c r="A2283" s="8"/>
      <c r="B2283" s="9"/>
      <c r="C2283" s="8"/>
    </row>
    <row r="2284" spans="1:3" x14ac:dyDescent="0.25">
      <c r="A2284" s="8"/>
      <c r="B2284" s="9"/>
      <c r="C2284" s="8"/>
    </row>
    <row r="2285" spans="1:3" x14ac:dyDescent="0.25">
      <c r="A2285" s="8"/>
      <c r="B2285" s="9"/>
      <c r="C2285" s="8"/>
    </row>
    <row r="2286" spans="1:3" x14ac:dyDescent="0.25">
      <c r="A2286" s="8"/>
      <c r="B2286" s="9"/>
      <c r="C2286" s="8"/>
    </row>
    <row r="2287" spans="1:3" x14ac:dyDescent="0.25">
      <c r="A2287" s="8"/>
      <c r="B2287" s="9"/>
      <c r="C2287" s="8"/>
    </row>
    <row r="2288" spans="1:3" x14ac:dyDescent="0.25">
      <c r="A2288" s="8"/>
      <c r="B2288" s="9"/>
      <c r="C2288" s="8"/>
    </row>
    <row r="2289" spans="1:3" x14ac:dyDescent="0.25">
      <c r="A2289" s="8"/>
      <c r="B2289" s="9"/>
      <c r="C2289" s="8"/>
    </row>
    <row r="2290" spans="1:3" x14ac:dyDescent="0.25">
      <c r="A2290" s="8"/>
      <c r="B2290" s="9"/>
      <c r="C2290" s="8"/>
    </row>
    <row r="2291" spans="1:3" x14ac:dyDescent="0.25">
      <c r="A2291" s="8"/>
      <c r="B2291" s="9"/>
      <c r="C2291" s="8"/>
    </row>
    <row r="2292" spans="1:3" x14ac:dyDescent="0.25">
      <c r="A2292" s="8"/>
      <c r="B2292" s="9"/>
      <c r="C2292" s="8"/>
    </row>
    <row r="2293" spans="1:3" x14ac:dyDescent="0.25">
      <c r="A2293" s="8"/>
      <c r="B2293" s="9"/>
      <c r="C2293" s="8"/>
    </row>
    <row r="2294" spans="1:3" x14ac:dyDescent="0.25">
      <c r="A2294" s="8"/>
      <c r="B2294" s="9"/>
      <c r="C2294" s="8"/>
    </row>
    <row r="2295" spans="1:3" x14ac:dyDescent="0.25">
      <c r="A2295" s="8"/>
      <c r="B2295" s="9"/>
      <c r="C2295" s="8"/>
    </row>
    <row r="2296" spans="1:3" x14ac:dyDescent="0.25">
      <c r="A2296" s="8"/>
      <c r="B2296" s="9"/>
      <c r="C2296" s="8"/>
    </row>
    <row r="2297" spans="1:3" x14ac:dyDescent="0.25">
      <c r="A2297" s="8"/>
      <c r="B2297" s="9"/>
      <c r="C2297" s="8"/>
    </row>
    <row r="2298" spans="1:3" x14ac:dyDescent="0.25">
      <c r="A2298" s="8"/>
      <c r="B2298" s="9"/>
      <c r="C2298" s="8"/>
    </row>
    <row r="2299" spans="1:3" x14ac:dyDescent="0.25">
      <c r="A2299" s="8"/>
      <c r="B2299" s="9"/>
      <c r="C2299" s="8"/>
    </row>
    <row r="2300" spans="1:3" x14ac:dyDescent="0.25">
      <c r="A2300" s="8"/>
      <c r="B2300" s="9"/>
      <c r="C2300" s="8"/>
    </row>
    <row r="2301" spans="1:3" x14ac:dyDescent="0.25">
      <c r="A2301" s="8"/>
      <c r="B2301" s="9"/>
      <c r="C2301" s="8"/>
    </row>
    <row r="2302" spans="1:3" x14ac:dyDescent="0.25">
      <c r="A2302" s="8"/>
      <c r="B2302" s="9"/>
      <c r="C2302" s="8"/>
    </row>
    <row r="2303" spans="1:3" x14ac:dyDescent="0.25">
      <c r="A2303" s="8"/>
      <c r="B2303" s="9"/>
      <c r="C2303" s="8"/>
    </row>
    <row r="2304" spans="1:3" x14ac:dyDescent="0.25">
      <c r="A2304" s="8"/>
      <c r="B2304" s="9"/>
      <c r="C2304" s="8"/>
    </row>
    <row r="2305" spans="1:3" x14ac:dyDescent="0.25">
      <c r="A2305" s="8"/>
      <c r="B2305" s="9"/>
      <c r="C2305" s="8"/>
    </row>
    <row r="2306" spans="1:3" x14ac:dyDescent="0.25">
      <c r="A2306" s="8"/>
      <c r="B2306" s="9"/>
      <c r="C2306" s="8"/>
    </row>
    <row r="2307" spans="1:3" x14ac:dyDescent="0.25">
      <c r="A2307" s="8"/>
      <c r="B2307" s="9"/>
      <c r="C2307" s="8"/>
    </row>
    <row r="2308" spans="1:3" x14ac:dyDescent="0.25">
      <c r="A2308" s="8"/>
      <c r="B2308" s="9"/>
      <c r="C2308" s="8"/>
    </row>
    <row r="2309" spans="1:3" x14ac:dyDescent="0.25">
      <c r="A2309" s="8"/>
      <c r="B2309" s="9"/>
      <c r="C2309" s="8"/>
    </row>
    <row r="2310" spans="1:3" x14ac:dyDescent="0.25">
      <c r="A2310" s="8"/>
      <c r="B2310" s="9"/>
      <c r="C2310" s="8"/>
    </row>
    <row r="2311" spans="1:3" x14ac:dyDescent="0.25">
      <c r="A2311" s="8"/>
      <c r="B2311" s="9"/>
      <c r="C2311" s="8"/>
    </row>
    <row r="2312" spans="1:3" x14ac:dyDescent="0.25">
      <c r="A2312" s="8"/>
      <c r="B2312" s="9"/>
      <c r="C2312" s="8"/>
    </row>
    <row r="2313" spans="1:3" x14ac:dyDescent="0.25">
      <c r="A2313" s="8"/>
      <c r="B2313" s="9"/>
      <c r="C2313" s="8"/>
    </row>
    <row r="2314" spans="1:3" x14ac:dyDescent="0.25">
      <c r="A2314" s="8"/>
      <c r="B2314" s="9"/>
      <c r="C2314" s="8"/>
    </row>
    <row r="2315" spans="1:3" x14ac:dyDescent="0.25">
      <c r="A2315" s="8"/>
      <c r="B2315" s="9"/>
      <c r="C2315" s="8"/>
    </row>
    <row r="2316" spans="1:3" x14ac:dyDescent="0.25">
      <c r="A2316" s="8"/>
      <c r="B2316" s="9"/>
      <c r="C2316" s="8"/>
    </row>
    <row r="2317" spans="1:3" x14ac:dyDescent="0.25">
      <c r="A2317" s="8"/>
      <c r="B2317" s="9"/>
      <c r="C2317" s="8"/>
    </row>
    <row r="2318" spans="1:3" x14ac:dyDescent="0.25">
      <c r="A2318" s="8"/>
      <c r="B2318" s="9"/>
      <c r="C2318" s="8"/>
    </row>
    <row r="2319" spans="1:3" x14ac:dyDescent="0.25">
      <c r="A2319" s="8"/>
      <c r="B2319" s="9"/>
      <c r="C2319" s="8"/>
    </row>
    <row r="2320" spans="1:3" x14ac:dyDescent="0.25">
      <c r="A2320" s="8"/>
      <c r="B2320" s="9"/>
      <c r="C2320" s="8"/>
    </row>
    <row r="2321" spans="1:3" x14ac:dyDescent="0.25">
      <c r="A2321" s="8"/>
      <c r="B2321" s="9"/>
      <c r="C2321" s="8"/>
    </row>
    <row r="2322" spans="1:3" x14ac:dyDescent="0.25">
      <c r="A2322" s="8"/>
      <c r="B2322" s="9"/>
      <c r="C2322" s="8"/>
    </row>
    <row r="2323" spans="1:3" x14ac:dyDescent="0.25">
      <c r="A2323" s="8"/>
      <c r="B2323" s="9"/>
      <c r="C2323" s="8"/>
    </row>
    <row r="2324" spans="1:3" x14ac:dyDescent="0.25">
      <c r="A2324" s="8"/>
      <c r="B2324" s="9"/>
      <c r="C2324" s="8"/>
    </row>
    <row r="2325" spans="1:3" x14ac:dyDescent="0.25">
      <c r="A2325" s="8"/>
      <c r="B2325" s="9"/>
      <c r="C2325" s="8"/>
    </row>
    <row r="2326" spans="1:3" x14ac:dyDescent="0.25">
      <c r="A2326" s="8"/>
      <c r="B2326" s="9"/>
      <c r="C2326" s="8"/>
    </row>
    <row r="2327" spans="1:3" x14ac:dyDescent="0.25">
      <c r="A2327" s="8"/>
      <c r="B2327" s="9"/>
      <c r="C2327" s="8"/>
    </row>
    <row r="2328" spans="1:3" x14ac:dyDescent="0.25">
      <c r="A2328" s="8"/>
      <c r="B2328" s="9"/>
      <c r="C2328" s="8"/>
    </row>
    <row r="2329" spans="1:3" x14ac:dyDescent="0.25">
      <c r="A2329" s="8"/>
      <c r="B2329" s="9"/>
      <c r="C2329" s="8"/>
    </row>
    <row r="2330" spans="1:3" x14ac:dyDescent="0.25">
      <c r="A2330" s="8"/>
      <c r="B2330" s="9"/>
      <c r="C2330" s="8"/>
    </row>
    <row r="2331" spans="1:3" x14ac:dyDescent="0.25">
      <c r="A2331" s="8"/>
      <c r="B2331" s="9"/>
      <c r="C2331" s="8"/>
    </row>
    <row r="2332" spans="1:3" x14ac:dyDescent="0.25">
      <c r="A2332" s="8"/>
      <c r="B2332" s="9"/>
      <c r="C2332" s="8"/>
    </row>
    <row r="2333" spans="1:3" x14ac:dyDescent="0.25">
      <c r="A2333" s="8"/>
      <c r="B2333" s="9"/>
      <c r="C2333" s="8"/>
    </row>
    <row r="2334" spans="1:3" x14ac:dyDescent="0.25">
      <c r="A2334" s="8"/>
      <c r="B2334" s="9"/>
      <c r="C2334" s="8"/>
    </row>
    <row r="2335" spans="1:3" x14ac:dyDescent="0.25">
      <c r="A2335" s="8"/>
      <c r="B2335" s="9"/>
      <c r="C2335" s="8"/>
    </row>
    <row r="2336" spans="1:3" x14ac:dyDescent="0.25">
      <c r="A2336" s="8"/>
      <c r="B2336" s="9"/>
      <c r="C2336" s="8"/>
    </row>
    <row r="2337" spans="1:3" x14ac:dyDescent="0.25">
      <c r="A2337" s="8"/>
      <c r="B2337" s="9"/>
      <c r="C2337" s="8"/>
    </row>
    <row r="2338" spans="1:3" x14ac:dyDescent="0.25">
      <c r="A2338" s="8"/>
      <c r="B2338" s="9"/>
      <c r="C2338" s="8"/>
    </row>
    <row r="2339" spans="1:3" x14ac:dyDescent="0.25">
      <c r="A2339" s="8"/>
      <c r="B2339" s="9"/>
      <c r="C2339" s="8"/>
    </row>
    <row r="2340" spans="1:3" x14ac:dyDescent="0.25">
      <c r="A2340" s="8"/>
      <c r="B2340" s="9"/>
      <c r="C2340" s="8"/>
    </row>
    <row r="2341" spans="1:3" x14ac:dyDescent="0.25">
      <c r="A2341" s="8"/>
      <c r="B2341" s="9"/>
      <c r="C2341" s="8"/>
    </row>
    <row r="2342" spans="1:3" x14ac:dyDescent="0.25">
      <c r="A2342" s="8"/>
      <c r="B2342" s="9"/>
      <c r="C2342" s="8"/>
    </row>
    <row r="2343" spans="1:3" x14ac:dyDescent="0.25">
      <c r="A2343" s="8"/>
      <c r="B2343" s="9"/>
      <c r="C2343" s="8"/>
    </row>
    <row r="2344" spans="1:3" x14ac:dyDescent="0.25">
      <c r="A2344" s="8"/>
      <c r="B2344" s="9"/>
      <c r="C2344" s="8"/>
    </row>
    <row r="2345" spans="1:3" x14ac:dyDescent="0.25">
      <c r="A2345" s="8"/>
      <c r="B2345" s="9"/>
      <c r="C2345" s="8"/>
    </row>
    <row r="2346" spans="1:3" x14ac:dyDescent="0.25">
      <c r="A2346" s="8"/>
      <c r="B2346" s="9"/>
      <c r="C2346" s="8"/>
    </row>
    <row r="2347" spans="1:3" x14ac:dyDescent="0.25">
      <c r="A2347" s="8"/>
      <c r="B2347" s="9"/>
      <c r="C2347" s="8"/>
    </row>
    <row r="2348" spans="1:3" x14ac:dyDescent="0.25">
      <c r="A2348" s="8"/>
      <c r="B2348" s="9"/>
      <c r="C2348" s="8"/>
    </row>
    <row r="2349" spans="1:3" x14ac:dyDescent="0.25">
      <c r="A2349" s="8"/>
      <c r="B2349" s="9"/>
      <c r="C2349" s="8"/>
    </row>
    <row r="2350" spans="1:3" x14ac:dyDescent="0.25">
      <c r="A2350" s="8"/>
      <c r="B2350" s="9"/>
      <c r="C2350" s="8"/>
    </row>
    <row r="2351" spans="1:3" x14ac:dyDescent="0.25">
      <c r="A2351" s="8"/>
      <c r="B2351" s="9"/>
      <c r="C2351" s="8"/>
    </row>
    <row r="2352" spans="1:3" x14ac:dyDescent="0.25">
      <c r="A2352" s="8"/>
      <c r="B2352" s="9"/>
      <c r="C2352" s="8"/>
    </row>
    <row r="2353" spans="1:3" x14ac:dyDescent="0.25">
      <c r="A2353" s="8"/>
      <c r="B2353" s="9"/>
      <c r="C2353" s="8"/>
    </row>
    <row r="2354" spans="1:3" x14ac:dyDescent="0.25">
      <c r="A2354" s="8"/>
      <c r="B2354" s="9"/>
      <c r="C2354" s="8"/>
    </row>
    <row r="2355" spans="1:3" x14ac:dyDescent="0.25">
      <c r="A2355" s="8"/>
      <c r="B2355" s="9"/>
      <c r="C2355" s="8"/>
    </row>
    <row r="2356" spans="1:3" x14ac:dyDescent="0.25">
      <c r="A2356" s="8"/>
      <c r="B2356" s="9"/>
      <c r="C2356" s="8"/>
    </row>
    <row r="2357" spans="1:3" x14ac:dyDescent="0.25">
      <c r="A2357" s="8"/>
      <c r="B2357" s="9"/>
      <c r="C2357" s="8"/>
    </row>
    <row r="2358" spans="1:3" x14ac:dyDescent="0.25">
      <c r="A2358" s="8"/>
      <c r="B2358" s="9"/>
      <c r="C2358" s="8"/>
    </row>
    <row r="2359" spans="1:3" x14ac:dyDescent="0.25">
      <c r="A2359" s="8"/>
      <c r="B2359" s="9"/>
      <c r="C2359" s="8"/>
    </row>
    <row r="2360" spans="1:3" x14ac:dyDescent="0.25">
      <c r="A2360" s="8"/>
      <c r="B2360" s="9"/>
      <c r="C2360" s="8"/>
    </row>
    <row r="2361" spans="1:3" x14ac:dyDescent="0.25">
      <c r="A2361" s="8"/>
      <c r="B2361" s="9"/>
      <c r="C2361" s="8"/>
    </row>
    <row r="2362" spans="1:3" x14ac:dyDescent="0.25">
      <c r="A2362" s="8"/>
      <c r="B2362" s="9"/>
      <c r="C2362" s="8"/>
    </row>
    <row r="2363" spans="1:3" x14ac:dyDescent="0.25">
      <c r="A2363" s="8"/>
      <c r="B2363" s="9"/>
      <c r="C2363" s="8"/>
    </row>
    <row r="2364" spans="1:3" x14ac:dyDescent="0.25">
      <c r="A2364" s="8"/>
      <c r="B2364" s="9"/>
      <c r="C2364" s="8"/>
    </row>
    <row r="2365" spans="1:3" x14ac:dyDescent="0.25">
      <c r="A2365" s="8"/>
      <c r="B2365" s="9"/>
      <c r="C2365" s="8"/>
    </row>
    <row r="2366" spans="1:3" x14ac:dyDescent="0.25">
      <c r="A2366" s="8"/>
      <c r="B2366" s="9"/>
      <c r="C2366" s="8"/>
    </row>
    <row r="2367" spans="1:3" x14ac:dyDescent="0.25">
      <c r="A2367" s="8"/>
      <c r="B2367" s="9"/>
      <c r="C2367" s="8"/>
    </row>
    <row r="2368" spans="1:3" x14ac:dyDescent="0.25">
      <c r="A2368" s="8"/>
      <c r="B2368" s="9"/>
      <c r="C2368" s="8"/>
    </row>
    <row r="2369" spans="1:3" x14ac:dyDescent="0.25">
      <c r="A2369" s="8"/>
      <c r="B2369" s="9"/>
      <c r="C2369" s="8"/>
    </row>
    <row r="2370" spans="1:3" x14ac:dyDescent="0.25">
      <c r="A2370" s="8"/>
      <c r="B2370" s="9"/>
      <c r="C2370" s="8"/>
    </row>
    <row r="2371" spans="1:3" x14ac:dyDescent="0.25">
      <c r="A2371" s="8"/>
      <c r="B2371" s="9"/>
      <c r="C2371" s="8"/>
    </row>
    <row r="2372" spans="1:3" x14ac:dyDescent="0.25">
      <c r="A2372" s="8"/>
      <c r="B2372" s="9"/>
      <c r="C2372" s="8"/>
    </row>
    <row r="2373" spans="1:3" x14ac:dyDescent="0.25">
      <c r="A2373" s="8"/>
      <c r="B2373" s="9"/>
      <c r="C2373" s="8"/>
    </row>
    <row r="2374" spans="1:3" x14ac:dyDescent="0.25">
      <c r="A2374" s="8"/>
      <c r="B2374" s="9"/>
      <c r="C2374" s="8"/>
    </row>
    <row r="2375" spans="1:3" x14ac:dyDescent="0.25">
      <c r="A2375" s="8"/>
      <c r="B2375" s="9"/>
      <c r="C2375" s="8"/>
    </row>
    <row r="2376" spans="1:3" x14ac:dyDescent="0.25">
      <c r="A2376" s="8"/>
      <c r="B2376" s="9"/>
      <c r="C2376" s="8"/>
    </row>
    <row r="2377" spans="1:3" x14ac:dyDescent="0.25">
      <c r="A2377" s="8"/>
      <c r="B2377" s="9"/>
      <c r="C2377" s="8"/>
    </row>
    <row r="2378" spans="1:3" x14ac:dyDescent="0.25">
      <c r="A2378" s="8"/>
      <c r="B2378" s="9"/>
      <c r="C2378" s="8"/>
    </row>
    <row r="2379" spans="1:3" x14ac:dyDescent="0.25">
      <c r="A2379" s="8"/>
      <c r="B2379" s="9"/>
      <c r="C2379" s="8"/>
    </row>
    <row r="2380" spans="1:3" x14ac:dyDescent="0.25">
      <c r="A2380" s="8"/>
      <c r="B2380" s="9"/>
      <c r="C2380" s="8"/>
    </row>
    <row r="2381" spans="1:3" x14ac:dyDescent="0.25">
      <c r="A2381" s="8"/>
      <c r="B2381" s="9"/>
      <c r="C2381" s="8"/>
    </row>
    <row r="2382" spans="1:3" x14ac:dyDescent="0.25">
      <c r="A2382" s="8"/>
      <c r="B2382" s="9"/>
      <c r="C2382" s="8"/>
    </row>
    <row r="2383" spans="1:3" x14ac:dyDescent="0.25">
      <c r="A2383" s="8"/>
      <c r="B2383" s="9"/>
      <c r="C2383" s="8"/>
    </row>
    <row r="2384" spans="1:3" x14ac:dyDescent="0.25">
      <c r="A2384" s="8"/>
      <c r="B2384" s="9"/>
      <c r="C2384" s="8"/>
    </row>
    <row r="2385" spans="1:3" x14ac:dyDescent="0.25">
      <c r="A2385" s="8"/>
      <c r="B2385" s="9"/>
      <c r="C2385" s="8"/>
    </row>
    <row r="2386" spans="1:3" x14ac:dyDescent="0.25">
      <c r="A2386" s="8"/>
      <c r="B2386" s="9"/>
      <c r="C2386" s="8"/>
    </row>
    <row r="2387" spans="1:3" x14ac:dyDescent="0.25">
      <c r="A2387" s="8"/>
      <c r="B2387" s="9"/>
      <c r="C2387" s="8"/>
    </row>
    <row r="2388" spans="1:3" x14ac:dyDescent="0.25">
      <c r="A2388" s="8"/>
      <c r="B2388" s="9"/>
      <c r="C2388" s="8"/>
    </row>
    <row r="2389" spans="1:3" x14ac:dyDescent="0.25">
      <c r="A2389" s="8"/>
      <c r="B2389" s="9"/>
      <c r="C2389" s="8"/>
    </row>
    <row r="2390" spans="1:3" x14ac:dyDescent="0.25">
      <c r="A2390" s="8"/>
      <c r="B2390" s="9"/>
      <c r="C2390" s="8"/>
    </row>
    <row r="2391" spans="1:3" x14ac:dyDescent="0.25">
      <c r="A2391" s="8"/>
      <c r="B2391" s="9"/>
      <c r="C2391" s="8"/>
    </row>
    <row r="2392" spans="1:3" x14ac:dyDescent="0.25">
      <c r="A2392" s="8"/>
      <c r="B2392" s="9"/>
      <c r="C2392" s="8"/>
    </row>
    <row r="2393" spans="1:3" x14ac:dyDescent="0.25">
      <c r="A2393" s="8"/>
      <c r="B2393" s="9"/>
      <c r="C2393" s="8"/>
    </row>
    <row r="2394" spans="1:3" x14ac:dyDescent="0.25">
      <c r="A2394" s="8"/>
      <c r="B2394" s="9"/>
      <c r="C2394" s="8"/>
    </row>
    <row r="2395" spans="1:3" x14ac:dyDescent="0.25">
      <c r="A2395" s="8"/>
      <c r="B2395" s="9"/>
      <c r="C2395" s="8"/>
    </row>
    <row r="2396" spans="1:3" x14ac:dyDescent="0.25">
      <c r="A2396" s="8"/>
      <c r="B2396" s="9"/>
      <c r="C2396" s="8"/>
    </row>
    <row r="2397" spans="1:3" x14ac:dyDescent="0.25">
      <c r="A2397" s="8"/>
      <c r="B2397" s="9"/>
      <c r="C2397" s="8"/>
    </row>
    <row r="2398" spans="1:3" x14ac:dyDescent="0.25">
      <c r="A2398" s="8"/>
      <c r="B2398" s="9"/>
      <c r="C2398" s="8"/>
    </row>
    <row r="2399" spans="1:3" x14ac:dyDescent="0.25">
      <c r="A2399" s="8"/>
      <c r="B2399" s="9"/>
      <c r="C2399" s="8"/>
    </row>
    <row r="2400" spans="1:3" x14ac:dyDescent="0.25">
      <c r="A2400" s="8"/>
      <c r="B2400" s="9"/>
      <c r="C2400" s="8"/>
    </row>
    <row r="2401" spans="1:3" x14ac:dyDescent="0.25">
      <c r="A2401" s="8"/>
      <c r="B2401" s="9"/>
      <c r="C2401" s="8"/>
    </row>
    <row r="2402" spans="1:3" x14ac:dyDescent="0.25">
      <c r="A2402" s="8"/>
      <c r="B2402" s="9"/>
      <c r="C2402" s="8"/>
    </row>
    <row r="2403" spans="1:3" x14ac:dyDescent="0.25">
      <c r="A2403" s="8"/>
      <c r="B2403" s="9"/>
      <c r="C2403" s="8"/>
    </row>
    <row r="2404" spans="1:3" x14ac:dyDescent="0.25">
      <c r="A2404" s="8"/>
      <c r="B2404" s="9"/>
      <c r="C2404" s="8"/>
    </row>
    <row r="2405" spans="1:3" x14ac:dyDescent="0.25">
      <c r="A2405" s="8"/>
      <c r="B2405" s="9"/>
      <c r="C2405" s="8"/>
    </row>
    <row r="2406" spans="1:3" x14ac:dyDescent="0.25">
      <c r="A2406" s="8"/>
      <c r="B2406" s="9"/>
      <c r="C2406" s="8"/>
    </row>
    <row r="2407" spans="1:3" x14ac:dyDescent="0.25">
      <c r="A2407" s="8"/>
      <c r="B2407" s="9"/>
      <c r="C2407" s="8"/>
    </row>
    <row r="2408" spans="1:3" x14ac:dyDescent="0.25">
      <c r="A2408" s="8"/>
      <c r="B2408" s="9"/>
      <c r="C2408" s="8"/>
    </row>
    <row r="2409" spans="1:3" x14ac:dyDescent="0.25">
      <c r="A2409" s="8"/>
      <c r="B2409" s="9"/>
      <c r="C2409" s="8"/>
    </row>
    <row r="2410" spans="1:3" x14ac:dyDescent="0.25">
      <c r="A2410" s="8"/>
      <c r="B2410" s="9"/>
      <c r="C2410" s="8"/>
    </row>
    <row r="2411" spans="1:3" x14ac:dyDescent="0.25">
      <c r="A2411" s="8"/>
      <c r="B2411" s="9"/>
      <c r="C2411" s="8"/>
    </row>
    <row r="2412" spans="1:3" x14ac:dyDescent="0.25">
      <c r="A2412" s="8"/>
      <c r="B2412" s="9"/>
      <c r="C2412" s="8"/>
    </row>
    <row r="2413" spans="1:3" x14ac:dyDescent="0.25">
      <c r="A2413" s="8"/>
      <c r="B2413" s="9"/>
      <c r="C2413" s="8"/>
    </row>
    <row r="2414" spans="1:3" x14ac:dyDescent="0.25">
      <c r="A2414" s="8"/>
      <c r="B2414" s="9"/>
      <c r="C2414" s="8"/>
    </row>
    <row r="2415" spans="1:3" x14ac:dyDescent="0.25">
      <c r="A2415" s="8"/>
      <c r="B2415" s="9"/>
      <c r="C2415" s="8"/>
    </row>
    <row r="2416" spans="1:3" x14ac:dyDescent="0.25">
      <c r="A2416" s="8"/>
      <c r="B2416" s="9"/>
      <c r="C2416" s="8"/>
    </row>
    <row r="2417" spans="1:3" x14ac:dyDescent="0.25">
      <c r="A2417" s="8"/>
      <c r="B2417" s="9"/>
      <c r="C2417" s="8"/>
    </row>
    <row r="2418" spans="1:3" x14ac:dyDescent="0.25">
      <c r="A2418" s="8"/>
      <c r="B2418" s="9"/>
      <c r="C2418" s="8"/>
    </row>
    <row r="2419" spans="1:3" x14ac:dyDescent="0.25">
      <c r="A2419" s="8"/>
      <c r="B2419" s="9"/>
      <c r="C2419" s="8"/>
    </row>
    <row r="2420" spans="1:3" x14ac:dyDescent="0.25">
      <c r="A2420" s="8"/>
      <c r="B2420" s="9"/>
      <c r="C2420" s="8"/>
    </row>
    <row r="2421" spans="1:3" x14ac:dyDescent="0.25">
      <c r="A2421" s="8"/>
      <c r="B2421" s="9"/>
      <c r="C2421" s="8"/>
    </row>
    <row r="2422" spans="1:3" x14ac:dyDescent="0.25">
      <c r="A2422" s="8"/>
      <c r="B2422" s="9"/>
      <c r="C2422" s="8"/>
    </row>
    <row r="2423" spans="1:3" x14ac:dyDescent="0.25">
      <c r="A2423" s="8"/>
      <c r="B2423" s="9"/>
      <c r="C2423" s="8"/>
    </row>
    <row r="2424" spans="1:3" x14ac:dyDescent="0.25">
      <c r="A2424" s="8"/>
      <c r="B2424" s="9"/>
      <c r="C2424" s="8"/>
    </row>
    <row r="2425" spans="1:3" x14ac:dyDescent="0.25">
      <c r="A2425" s="8"/>
      <c r="B2425" s="9"/>
      <c r="C2425" s="8"/>
    </row>
    <row r="2426" spans="1:3" x14ac:dyDescent="0.25">
      <c r="A2426" s="8"/>
      <c r="B2426" s="9"/>
      <c r="C2426" s="8"/>
    </row>
    <row r="2427" spans="1:3" x14ac:dyDescent="0.25">
      <c r="A2427" s="8"/>
      <c r="B2427" s="9"/>
      <c r="C2427" s="8"/>
    </row>
    <row r="2428" spans="1:3" x14ac:dyDescent="0.25">
      <c r="A2428" s="8"/>
      <c r="B2428" s="9"/>
      <c r="C2428" s="8"/>
    </row>
    <row r="2429" spans="1:3" x14ac:dyDescent="0.25">
      <c r="A2429" s="8"/>
      <c r="B2429" s="9"/>
      <c r="C2429" s="8"/>
    </row>
    <row r="2430" spans="1:3" x14ac:dyDescent="0.25">
      <c r="A2430" s="8"/>
      <c r="B2430" s="9"/>
      <c r="C2430" s="8"/>
    </row>
    <row r="2431" spans="1:3" x14ac:dyDescent="0.25">
      <c r="A2431" s="8"/>
      <c r="B2431" s="9"/>
      <c r="C2431" s="8"/>
    </row>
    <row r="2432" spans="1:3" x14ac:dyDescent="0.25">
      <c r="A2432" s="8"/>
      <c r="B2432" s="9"/>
      <c r="C2432" s="8"/>
    </row>
    <row r="2433" spans="1:3" x14ac:dyDescent="0.25">
      <c r="A2433" s="8"/>
      <c r="B2433" s="9"/>
      <c r="C2433" s="8"/>
    </row>
    <row r="2434" spans="1:3" x14ac:dyDescent="0.25">
      <c r="A2434" s="8"/>
      <c r="B2434" s="9"/>
      <c r="C2434" s="8"/>
    </row>
    <row r="2435" spans="1:3" x14ac:dyDescent="0.25">
      <c r="A2435" s="8"/>
      <c r="B2435" s="9"/>
      <c r="C2435" s="8"/>
    </row>
    <row r="2436" spans="1:3" x14ac:dyDescent="0.25">
      <c r="A2436" s="8"/>
      <c r="B2436" s="9"/>
      <c r="C2436" s="8"/>
    </row>
    <row r="2437" spans="1:3" x14ac:dyDescent="0.25">
      <c r="A2437" s="8"/>
      <c r="B2437" s="9"/>
      <c r="C2437" s="8"/>
    </row>
    <row r="2438" spans="1:3" x14ac:dyDescent="0.25">
      <c r="A2438" s="8"/>
      <c r="B2438" s="9"/>
      <c r="C2438" s="8"/>
    </row>
    <row r="2439" spans="1:3" x14ac:dyDescent="0.25">
      <c r="A2439" s="8"/>
      <c r="B2439" s="9"/>
      <c r="C2439" s="8"/>
    </row>
    <row r="2440" spans="1:3" x14ac:dyDescent="0.25">
      <c r="A2440" s="8"/>
      <c r="B2440" s="9"/>
      <c r="C2440" s="8"/>
    </row>
    <row r="2441" spans="1:3" x14ac:dyDescent="0.25">
      <c r="A2441" s="8"/>
      <c r="B2441" s="9"/>
      <c r="C2441" s="8"/>
    </row>
    <row r="2442" spans="1:3" x14ac:dyDescent="0.25">
      <c r="A2442" s="8"/>
      <c r="B2442" s="9"/>
      <c r="C2442" s="8"/>
    </row>
    <row r="2443" spans="1:3" x14ac:dyDescent="0.25">
      <c r="A2443" s="8"/>
      <c r="B2443" s="9"/>
      <c r="C2443" s="8"/>
    </row>
    <row r="2444" spans="1:3" x14ac:dyDescent="0.25">
      <c r="A2444" s="8"/>
      <c r="B2444" s="9"/>
      <c r="C2444" s="8"/>
    </row>
    <row r="2445" spans="1:3" x14ac:dyDescent="0.25">
      <c r="A2445" s="8"/>
      <c r="B2445" s="9"/>
      <c r="C2445" s="8"/>
    </row>
    <row r="2446" spans="1:3" x14ac:dyDescent="0.25">
      <c r="A2446" s="8"/>
      <c r="B2446" s="9"/>
      <c r="C2446" s="8"/>
    </row>
    <row r="2447" spans="1:3" x14ac:dyDescent="0.25">
      <c r="A2447" s="8"/>
      <c r="B2447" s="9"/>
      <c r="C2447" s="8"/>
    </row>
    <row r="2448" spans="1:3" x14ac:dyDescent="0.25">
      <c r="A2448" s="8"/>
      <c r="B2448" s="9"/>
      <c r="C2448" s="8"/>
    </row>
    <row r="2449" spans="1:3" x14ac:dyDescent="0.25">
      <c r="A2449" s="8"/>
      <c r="B2449" s="9"/>
      <c r="C2449" s="8"/>
    </row>
    <row r="2450" spans="1:3" x14ac:dyDescent="0.25">
      <c r="A2450" s="8"/>
      <c r="B2450" s="9"/>
      <c r="C2450" s="8"/>
    </row>
    <row r="2451" spans="1:3" x14ac:dyDescent="0.25">
      <c r="A2451" s="8"/>
      <c r="B2451" s="9"/>
      <c r="C2451" s="8"/>
    </row>
    <row r="2452" spans="1:3" x14ac:dyDescent="0.25">
      <c r="A2452" s="8"/>
      <c r="B2452" s="9"/>
      <c r="C2452" s="8"/>
    </row>
    <row r="2453" spans="1:3" x14ac:dyDescent="0.25">
      <c r="A2453" s="8"/>
      <c r="B2453" s="9"/>
      <c r="C2453" s="8"/>
    </row>
    <row r="2454" spans="1:3" x14ac:dyDescent="0.25">
      <c r="A2454" s="8"/>
      <c r="B2454" s="9"/>
      <c r="C2454" s="8"/>
    </row>
    <row r="2455" spans="1:3" x14ac:dyDescent="0.25">
      <c r="A2455" s="8"/>
      <c r="B2455" s="9"/>
      <c r="C2455" s="8"/>
    </row>
    <row r="2456" spans="1:3" x14ac:dyDescent="0.25">
      <c r="A2456" s="8"/>
      <c r="B2456" s="9"/>
      <c r="C2456" s="8"/>
    </row>
    <row r="2457" spans="1:3" x14ac:dyDescent="0.25">
      <c r="A2457" s="8"/>
      <c r="B2457" s="9"/>
      <c r="C2457" s="8"/>
    </row>
    <row r="2458" spans="1:3" x14ac:dyDescent="0.25">
      <c r="A2458" s="8"/>
      <c r="B2458" s="9"/>
      <c r="C2458" s="8"/>
    </row>
    <row r="2459" spans="1:3" x14ac:dyDescent="0.25">
      <c r="A2459" s="8"/>
      <c r="B2459" s="9"/>
      <c r="C2459" s="8"/>
    </row>
    <row r="2460" spans="1:3" x14ac:dyDescent="0.25">
      <c r="A2460" s="8"/>
      <c r="B2460" s="9"/>
      <c r="C2460" s="8"/>
    </row>
    <row r="2461" spans="1:3" x14ac:dyDescent="0.25">
      <c r="A2461" s="8"/>
      <c r="B2461" s="9"/>
      <c r="C2461" s="8"/>
    </row>
    <row r="2462" spans="1:3" x14ac:dyDescent="0.25">
      <c r="A2462" s="8"/>
      <c r="B2462" s="9"/>
      <c r="C2462" s="8"/>
    </row>
    <row r="2463" spans="1:3" x14ac:dyDescent="0.25">
      <c r="A2463" s="8"/>
      <c r="B2463" s="9"/>
      <c r="C2463" s="8"/>
    </row>
    <row r="2464" spans="1:3" x14ac:dyDescent="0.25">
      <c r="A2464" s="8"/>
      <c r="B2464" s="9"/>
      <c r="C2464" s="8"/>
    </row>
    <row r="2465" spans="1:3" x14ac:dyDescent="0.25">
      <c r="A2465" s="8"/>
      <c r="B2465" s="9"/>
      <c r="C2465" s="8"/>
    </row>
    <row r="2466" spans="1:3" x14ac:dyDescent="0.25">
      <c r="A2466" s="8"/>
      <c r="B2466" s="9"/>
      <c r="C2466" s="8"/>
    </row>
    <row r="2467" spans="1:3" x14ac:dyDescent="0.25">
      <c r="A2467" s="8"/>
      <c r="B2467" s="9"/>
      <c r="C2467" s="8"/>
    </row>
    <row r="2468" spans="1:3" x14ac:dyDescent="0.25">
      <c r="A2468" s="8"/>
      <c r="B2468" s="9"/>
      <c r="C2468" s="8"/>
    </row>
    <row r="2469" spans="1:3" x14ac:dyDescent="0.25">
      <c r="A2469" s="8"/>
      <c r="B2469" s="9"/>
      <c r="C2469" s="8"/>
    </row>
    <row r="2470" spans="1:3" x14ac:dyDescent="0.25">
      <c r="A2470" s="8"/>
      <c r="B2470" s="9"/>
      <c r="C2470" s="8"/>
    </row>
    <row r="2471" spans="1:3" x14ac:dyDescent="0.25">
      <c r="A2471" s="8"/>
      <c r="B2471" s="9"/>
      <c r="C2471" s="8"/>
    </row>
    <row r="2472" spans="1:3" x14ac:dyDescent="0.25">
      <c r="A2472" s="8"/>
      <c r="B2472" s="9"/>
      <c r="C2472" s="8"/>
    </row>
    <row r="2473" spans="1:3" x14ac:dyDescent="0.25">
      <c r="A2473" s="8"/>
      <c r="B2473" s="9"/>
      <c r="C2473" s="8"/>
    </row>
    <row r="2474" spans="1:3" x14ac:dyDescent="0.25">
      <c r="A2474" s="8"/>
      <c r="B2474" s="9"/>
      <c r="C2474" s="8"/>
    </row>
    <row r="2475" spans="1:3" x14ac:dyDescent="0.25">
      <c r="A2475" s="8"/>
      <c r="B2475" s="9"/>
      <c r="C2475" s="8"/>
    </row>
    <row r="2476" spans="1:3" x14ac:dyDescent="0.25">
      <c r="A2476" s="8"/>
      <c r="B2476" s="9"/>
      <c r="C2476" s="8"/>
    </row>
    <row r="2477" spans="1:3" x14ac:dyDescent="0.25">
      <c r="A2477" s="8"/>
      <c r="B2477" s="9"/>
      <c r="C2477" s="8"/>
    </row>
    <row r="2478" spans="1:3" x14ac:dyDescent="0.25">
      <c r="A2478" s="8"/>
      <c r="B2478" s="9"/>
      <c r="C2478" s="8"/>
    </row>
    <row r="2479" spans="1:3" x14ac:dyDescent="0.25">
      <c r="A2479" s="8"/>
      <c r="B2479" s="9"/>
      <c r="C2479" s="8"/>
    </row>
    <row r="2480" spans="1:3" x14ac:dyDescent="0.25">
      <c r="A2480" s="8"/>
      <c r="B2480" s="9"/>
      <c r="C2480" s="8"/>
    </row>
    <row r="2481" spans="1:3" x14ac:dyDescent="0.25">
      <c r="A2481" s="8"/>
      <c r="B2481" s="9"/>
      <c r="C2481" s="8"/>
    </row>
    <row r="2482" spans="1:3" x14ac:dyDescent="0.25">
      <c r="A2482" s="8"/>
      <c r="B2482" s="9"/>
      <c r="C2482" s="8"/>
    </row>
    <row r="2483" spans="1:3" x14ac:dyDescent="0.25">
      <c r="A2483" s="8"/>
      <c r="B2483" s="9"/>
      <c r="C2483" s="8"/>
    </row>
    <row r="2484" spans="1:3" x14ac:dyDescent="0.25">
      <c r="A2484" s="8"/>
      <c r="B2484" s="9"/>
      <c r="C2484" s="8"/>
    </row>
    <row r="2485" spans="1:3" x14ac:dyDescent="0.25">
      <c r="A2485" s="8"/>
      <c r="B2485" s="9"/>
      <c r="C2485" s="8"/>
    </row>
    <row r="2486" spans="1:3" x14ac:dyDescent="0.25">
      <c r="A2486" s="8"/>
      <c r="B2486" s="9"/>
      <c r="C2486" s="8"/>
    </row>
    <row r="2487" spans="1:3" x14ac:dyDescent="0.25">
      <c r="A2487" s="8"/>
      <c r="B2487" s="9"/>
      <c r="C2487" s="8"/>
    </row>
    <row r="2488" spans="1:3" x14ac:dyDescent="0.25">
      <c r="A2488" s="8"/>
      <c r="B2488" s="9"/>
      <c r="C2488" s="8"/>
    </row>
    <row r="2489" spans="1:3" x14ac:dyDescent="0.25">
      <c r="A2489" s="8"/>
      <c r="B2489" s="9"/>
      <c r="C2489" s="8"/>
    </row>
    <row r="2490" spans="1:3" x14ac:dyDescent="0.25">
      <c r="A2490" s="8"/>
      <c r="B2490" s="9"/>
      <c r="C2490" s="8"/>
    </row>
    <row r="2491" spans="1:3" x14ac:dyDescent="0.25">
      <c r="A2491" s="8"/>
      <c r="B2491" s="9"/>
      <c r="C2491" s="8"/>
    </row>
    <row r="2492" spans="1:3" x14ac:dyDescent="0.25">
      <c r="A2492" s="8"/>
      <c r="B2492" s="9"/>
      <c r="C2492" s="8"/>
    </row>
    <row r="2493" spans="1:3" x14ac:dyDescent="0.25">
      <c r="A2493" s="8"/>
      <c r="B2493" s="9"/>
      <c r="C2493" s="8"/>
    </row>
    <row r="2494" spans="1:3" x14ac:dyDescent="0.25">
      <c r="A2494" s="8"/>
      <c r="B2494" s="9"/>
      <c r="C2494" s="8"/>
    </row>
    <row r="2495" spans="1:3" x14ac:dyDescent="0.25">
      <c r="A2495" s="8"/>
      <c r="B2495" s="9"/>
      <c r="C2495" s="8"/>
    </row>
    <row r="2496" spans="1:3" x14ac:dyDescent="0.25">
      <c r="A2496" s="8"/>
      <c r="B2496" s="9"/>
      <c r="C2496" s="8"/>
    </row>
    <row r="2497" spans="1:3" x14ac:dyDescent="0.25">
      <c r="A2497" s="8"/>
      <c r="B2497" s="9"/>
      <c r="C2497" s="8"/>
    </row>
    <row r="2498" spans="1:3" x14ac:dyDescent="0.25">
      <c r="A2498" s="8"/>
      <c r="B2498" s="9"/>
      <c r="C2498" s="8"/>
    </row>
    <row r="2499" spans="1:3" x14ac:dyDescent="0.25">
      <c r="A2499" s="8"/>
      <c r="B2499" s="9"/>
      <c r="C2499" s="8"/>
    </row>
    <row r="2500" spans="1:3" x14ac:dyDescent="0.25">
      <c r="A2500" s="8"/>
      <c r="B2500" s="9"/>
      <c r="C2500" s="8"/>
    </row>
    <row r="2501" spans="1:3" x14ac:dyDescent="0.25">
      <c r="A2501" s="8"/>
      <c r="B2501" s="9"/>
      <c r="C2501" s="8"/>
    </row>
    <row r="2502" spans="1:3" x14ac:dyDescent="0.25">
      <c r="A2502" s="8"/>
      <c r="B2502" s="9"/>
      <c r="C2502" s="8"/>
    </row>
    <row r="2503" spans="1:3" x14ac:dyDescent="0.25">
      <c r="A2503" s="8"/>
      <c r="B2503" s="9"/>
      <c r="C2503" s="8"/>
    </row>
    <row r="2504" spans="1:3" x14ac:dyDescent="0.25">
      <c r="A2504" s="8"/>
      <c r="B2504" s="9"/>
      <c r="C2504" s="8"/>
    </row>
    <row r="2505" spans="1:3" x14ac:dyDescent="0.25">
      <c r="A2505" s="8"/>
      <c r="B2505" s="9"/>
      <c r="C2505" s="8"/>
    </row>
    <row r="2506" spans="1:3" x14ac:dyDescent="0.25">
      <c r="A2506" s="8"/>
      <c r="B2506" s="9"/>
      <c r="C2506" s="8"/>
    </row>
    <row r="2507" spans="1:3" x14ac:dyDescent="0.25">
      <c r="A2507" s="8"/>
      <c r="B2507" s="9"/>
      <c r="C2507" s="8"/>
    </row>
    <row r="2508" spans="1:3" x14ac:dyDescent="0.25">
      <c r="A2508" s="8"/>
      <c r="B2508" s="9"/>
      <c r="C2508" s="8"/>
    </row>
    <row r="2509" spans="1:3" x14ac:dyDescent="0.25">
      <c r="A2509" s="8"/>
      <c r="B2509" s="9"/>
      <c r="C2509" s="8"/>
    </row>
    <row r="2510" spans="1:3" x14ac:dyDescent="0.25">
      <c r="A2510" s="8"/>
      <c r="B2510" s="9"/>
      <c r="C2510" s="8"/>
    </row>
    <row r="2511" spans="1:3" x14ac:dyDescent="0.25">
      <c r="A2511" s="8"/>
      <c r="B2511" s="9"/>
      <c r="C2511" s="8"/>
    </row>
    <row r="2512" spans="1:3" x14ac:dyDescent="0.25">
      <c r="A2512" s="8"/>
      <c r="B2512" s="9"/>
      <c r="C2512" s="8"/>
    </row>
    <row r="2513" spans="1:3" x14ac:dyDescent="0.25">
      <c r="A2513" s="8"/>
      <c r="B2513" s="9"/>
      <c r="C2513" s="8"/>
    </row>
    <row r="2514" spans="1:3" x14ac:dyDescent="0.25">
      <c r="A2514" s="8"/>
      <c r="B2514" s="9"/>
      <c r="C2514" s="8"/>
    </row>
    <row r="2515" spans="1:3" x14ac:dyDescent="0.25">
      <c r="A2515" s="8"/>
      <c r="B2515" s="9"/>
      <c r="C2515" s="8"/>
    </row>
    <row r="2516" spans="1:3" x14ac:dyDescent="0.25">
      <c r="A2516" s="8"/>
      <c r="B2516" s="9"/>
      <c r="C2516" s="8"/>
    </row>
    <row r="2517" spans="1:3" x14ac:dyDescent="0.25">
      <c r="A2517" s="8"/>
      <c r="B2517" s="9"/>
      <c r="C2517" s="8"/>
    </row>
    <row r="2518" spans="1:3" x14ac:dyDescent="0.25">
      <c r="A2518" s="8"/>
      <c r="B2518" s="9"/>
      <c r="C2518" s="8"/>
    </row>
    <row r="2519" spans="1:3" x14ac:dyDescent="0.25">
      <c r="A2519" s="8"/>
      <c r="B2519" s="9"/>
      <c r="C2519" s="8"/>
    </row>
    <row r="2520" spans="1:3" x14ac:dyDescent="0.25">
      <c r="A2520" s="8"/>
      <c r="B2520" s="9"/>
      <c r="C2520" s="8"/>
    </row>
    <row r="2521" spans="1:3" x14ac:dyDescent="0.25">
      <c r="A2521" s="8"/>
      <c r="B2521" s="9"/>
      <c r="C2521" s="8"/>
    </row>
    <row r="2522" spans="1:3" x14ac:dyDescent="0.25">
      <c r="A2522" s="8"/>
      <c r="B2522" s="9"/>
      <c r="C2522" s="8"/>
    </row>
    <row r="2523" spans="1:3" x14ac:dyDescent="0.25">
      <c r="A2523" s="8"/>
      <c r="B2523" s="9"/>
      <c r="C2523" s="8"/>
    </row>
    <row r="2524" spans="1:3" x14ac:dyDescent="0.25">
      <c r="A2524" s="8"/>
      <c r="B2524" s="9"/>
      <c r="C2524" s="8"/>
    </row>
    <row r="2525" spans="1:3" x14ac:dyDescent="0.25">
      <c r="A2525" s="8"/>
      <c r="B2525" s="9"/>
      <c r="C2525" s="8"/>
    </row>
    <row r="2526" spans="1:3" x14ac:dyDescent="0.25">
      <c r="A2526" s="8"/>
      <c r="B2526" s="9"/>
      <c r="C2526" s="8"/>
    </row>
    <row r="2527" spans="1:3" x14ac:dyDescent="0.25">
      <c r="A2527" s="8"/>
      <c r="B2527" s="9"/>
      <c r="C2527" s="8"/>
    </row>
    <row r="2528" spans="1:3" x14ac:dyDescent="0.25">
      <c r="A2528" s="8"/>
      <c r="B2528" s="9"/>
      <c r="C2528" s="8"/>
    </row>
    <row r="2529" spans="1:3" x14ac:dyDescent="0.25">
      <c r="A2529" s="8"/>
      <c r="B2529" s="9"/>
      <c r="C2529" s="8"/>
    </row>
    <row r="2530" spans="1:3" x14ac:dyDescent="0.25">
      <c r="A2530" s="8"/>
      <c r="B2530" s="9"/>
      <c r="C2530" s="8"/>
    </row>
    <row r="2531" spans="1:3" x14ac:dyDescent="0.25">
      <c r="A2531" s="8"/>
      <c r="B2531" s="9"/>
      <c r="C2531" s="8"/>
    </row>
    <row r="2532" spans="1:3" x14ac:dyDescent="0.25">
      <c r="A2532" s="8"/>
      <c r="B2532" s="9"/>
      <c r="C2532" s="8"/>
    </row>
    <row r="2533" spans="1:3" x14ac:dyDescent="0.25">
      <c r="A2533" s="8"/>
      <c r="B2533" s="9"/>
      <c r="C2533" s="8"/>
    </row>
    <row r="2534" spans="1:3" x14ac:dyDescent="0.25">
      <c r="A2534" s="8"/>
      <c r="B2534" s="9"/>
      <c r="C2534" s="8"/>
    </row>
    <row r="2535" spans="1:3" x14ac:dyDescent="0.25">
      <c r="A2535" s="8"/>
      <c r="B2535" s="9"/>
      <c r="C2535" s="8"/>
    </row>
    <row r="2536" spans="1:3" x14ac:dyDescent="0.25">
      <c r="A2536" s="8"/>
      <c r="B2536" s="9"/>
      <c r="C2536" s="8"/>
    </row>
    <row r="2537" spans="1:3" x14ac:dyDescent="0.25">
      <c r="A2537" s="8"/>
      <c r="B2537" s="9"/>
      <c r="C2537" s="8"/>
    </row>
    <row r="2538" spans="1:3" x14ac:dyDescent="0.25">
      <c r="A2538" s="8"/>
      <c r="B2538" s="9"/>
      <c r="C2538" s="8"/>
    </row>
    <row r="2539" spans="1:3" x14ac:dyDescent="0.25">
      <c r="A2539" s="8"/>
      <c r="B2539" s="9"/>
      <c r="C2539" s="8"/>
    </row>
    <row r="2540" spans="1:3" x14ac:dyDescent="0.25">
      <c r="A2540" s="8"/>
      <c r="B2540" s="9"/>
      <c r="C2540" s="8"/>
    </row>
    <row r="2541" spans="1:3" x14ac:dyDescent="0.25">
      <c r="A2541" s="8"/>
      <c r="B2541" s="9"/>
      <c r="C2541" s="8"/>
    </row>
    <row r="2542" spans="1:3" x14ac:dyDescent="0.25">
      <c r="A2542" s="8"/>
      <c r="B2542" s="9"/>
      <c r="C2542" s="8"/>
    </row>
    <row r="2543" spans="1:3" x14ac:dyDescent="0.25">
      <c r="A2543" s="8"/>
      <c r="B2543" s="9"/>
      <c r="C2543" s="8"/>
    </row>
    <row r="2544" spans="1:3" x14ac:dyDescent="0.25">
      <c r="A2544" s="8"/>
      <c r="B2544" s="9"/>
      <c r="C2544" s="8"/>
    </row>
    <row r="2545" spans="1:3" x14ac:dyDescent="0.25">
      <c r="A2545" s="8"/>
      <c r="B2545" s="9"/>
      <c r="C2545" s="8"/>
    </row>
    <row r="2546" spans="1:3" x14ac:dyDescent="0.25">
      <c r="A2546" s="8"/>
      <c r="B2546" s="9"/>
      <c r="C2546" s="8"/>
    </row>
    <row r="2547" spans="1:3" x14ac:dyDescent="0.25">
      <c r="A2547" s="8"/>
      <c r="B2547" s="9"/>
      <c r="C2547" s="8"/>
    </row>
    <row r="2548" spans="1:3" x14ac:dyDescent="0.25">
      <c r="A2548" s="8"/>
      <c r="B2548" s="9"/>
      <c r="C2548" s="8"/>
    </row>
    <row r="2549" spans="1:3" x14ac:dyDescent="0.25">
      <c r="A2549" s="8"/>
      <c r="B2549" s="9"/>
      <c r="C2549" s="8"/>
    </row>
    <row r="2550" spans="1:3" x14ac:dyDescent="0.25">
      <c r="A2550" s="8"/>
      <c r="B2550" s="9"/>
      <c r="C2550" s="8"/>
    </row>
    <row r="2551" spans="1:3" x14ac:dyDescent="0.25">
      <c r="A2551" s="8"/>
      <c r="B2551" s="9"/>
      <c r="C2551" s="8"/>
    </row>
    <row r="2552" spans="1:3" x14ac:dyDescent="0.25">
      <c r="A2552" s="8"/>
      <c r="B2552" s="9"/>
      <c r="C2552" s="8"/>
    </row>
    <row r="2553" spans="1:3" x14ac:dyDescent="0.25">
      <c r="A2553" s="8"/>
      <c r="B2553" s="9"/>
      <c r="C2553" s="8"/>
    </row>
    <row r="2554" spans="1:3" x14ac:dyDescent="0.25">
      <c r="A2554" s="8"/>
      <c r="B2554" s="9"/>
      <c r="C2554" s="8"/>
    </row>
    <row r="2555" spans="1:3" x14ac:dyDescent="0.25">
      <c r="A2555" s="8"/>
      <c r="B2555" s="9"/>
      <c r="C2555" s="8"/>
    </row>
    <row r="2556" spans="1:3" x14ac:dyDescent="0.25">
      <c r="A2556" s="8"/>
      <c r="B2556" s="9"/>
      <c r="C2556" s="8"/>
    </row>
    <row r="2557" spans="1:3" x14ac:dyDescent="0.25">
      <c r="A2557" s="8"/>
      <c r="B2557" s="9"/>
      <c r="C2557" s="8"/>
    </row>
    <row r="2558" spans="1:3" x14ac:dyDescent="0.25">
      <c r="A2558" s="8"/>
      <c r="B2558" s="9"/>
      <c r="C2558" s="8"/>
    </row>
    <row r="2559" spans="1:3" x14ac:dyDescent="0.25">
      <c r="A2559" s="8"/>
      <c r="B2559" s="9"/>
      <c r="C2559" s="8"/>
    </row>
    <row r="2560" spans="1:3" x14ac:dyDescent="0.25">
      <c r="A2560" s="8"/>
      <c r="B2560" s="9"/>
      <c r="C2560" s="8"/>
    </row>
    <row r="2561" spans="1:3" x14ac:dyDescent="0.25">
      <c r="A2561" s="8"/>
      <c r="B2561" s="9"/>
      <c r="C2561" s="8"/>
    </row>
    <row r="2562" spans="1:3" x14ac:dyDescent="0.25">
      <c r="A2562" s="8"/>
      <c r="B2562" s="9"/>
      <c r="C2562" s="8"/>
    </row>
    <row r="2563" spans="1:3" x14ac:dyDescent="0.25">
      <c r="A2563" s="8"/>
      <c r="B2563" s="9"/>
      <c r="C2563" s="8"/>
    </row>
    <row r="2564" spans="1:3" x14ac:dyDescent="0.25">
      <c r="A2564" s="8"/>
      <c r="B2564" s="9"/>
      <c r="C2564" s="8"/>
    </row>
    <row r="2565" spans="1:3" x14ac:dyDescent="0.25">
      <c r="A2565" s="8"/>
      <c r="B2565" s="9"/>
      <c r="C2565" s="8"/>
    </row>
    <row r="2566" spans="1:3" x14ac:dyDescent="0.25">
      <c r="A2566" s="8"/>
      <c r="B2566" s="9"/>
      <c r="C2566" s="8"/>
    </row>
    <row r="2567" spans="1:3" x14ac:dyDescent="0.25">
      <c r="A2567" s="8"/>
      <c r="B2567" s="9"/>
      <c r="C2567" s="8"/>
    </row>
    <row r="2568" spans="1:3" x14ac:dyDescent="0.25">
      <c r="A2568" s="8"/>
      <c r="B2568" s="9"/>
      <c r="C2568" s="8"/>
    </row>
    <row r="2569" spans="1:3" x14ac:dyDescent="0.25">
      <c r="A2569" s="8"/>
      <c r="B2569" s="9"/>
      <c r="C2569" s="8"/>
    </row>
    <row r="2570" spans="1:3" x14ac:dyDescent="0.25">
      <c r="A2570" s="8"/>
      <c r="B2570" s="9"/>
      <c r="C2570" s="8"/>
    </row>
    <row r="2571" spans="1:3" x14ac:dyDescent="0.25">
      <c r="A2571" s="8"/>
      <c r="B2571" s="9"/>
      <c r="C2571" s="8"/>
    </row>
    <row r="2572" spans="1:3" x14ac:dyDescent="0.25">
      <c r="A2572" s="8"/>
      <c r="B2572" s="9"/>
      <c r="C2572" s="8"/>
    </row>
    <row r="2573" spans="1:3" x14ac:dyDescent="0.25">
      <c r="A2573" s="8"/>
      <c r="B2573" s="9"/>
      <c r="C2573" s="8"/>
    </row>
    <row r="2574" spans="1:3" x14ac:dyDescent="0.25">
      <c r="A2574" s="8"/>
      <c r="B2574" s="9"/>
      <c r="C2574" s="8"/>
    </row>
    <row r="2575" spans="1:3" x14ac:dyDescent="0.25">
      <c r="A2575" s="8"/>
      <c r="B2575" s="9"/>
      <c r="C2575" s="8"/>
    </row>
    <row r="2576" spans="1:3" x14ac:dyDescent="0.25">
      <c r="A2576" s="8"/>
      <c r="B2576" s="9"/>
      <c r="C2576" s="8"/>
    </row>
    <row r="2577" spans="1:3" x14ac:dyDescent="0.25">
      <c r="A2577" s="8"/>
      <c r="B2577" s="9"/>
      <c r="C2577" s="8"/>
    </row>
    <row r="2578" spans="1:3" x14ac:dyDescent="0.25">
      <c r="A2578" s="8"/>
      <c r="B2578" s="9"/>
      <c r="C2578" s="8"/>
    </row>
    <row r="2579" spans="1:3" x14ac:dyDescent="0.25">
      <c r="A2579" s="8"/>
      <c r="B2579" s="9"/>
      <c r="C2579" s="8"/>
    </row>
    <row r="2580" spans="1:3" x14ac:dyDescent="0.25">
      <c r="A2580" s="8"/>
      <c r="B2580" s="9"/>
      <c r="C2580" s="8"/>
    </row>
    <row r="2581" spans="1:3" x14ac:dyDescent="0.25">
      <c r="A2581" s="8"/>
      <c r="B2581" s="9"/>
      <c r="C2581" s="8"/>
    </row>
    <row r="2582" spans="1:3" x14ac:dyDescent="0.25">
      <c r="A2582" s="8"/>
      <c r="B2582" s="9"/>
      <c r="C2582" s="8"/>
    </row>
    <row r="2583" spans="1:3" x14ac:dyDescent="0.25">
      <c r="A2583" s="8"/>
      <c r="B2583" s="9"/>
      <c r="C2583" s="8"/>
    </row>
    <row r="2584" spans="1:3" x14ac:dyDescent="0.25">
      <c r="A2584" s="8"/>
      <c r="B2584" s="9"/>
      <c r="C2584" s="8"/>
    </row>
    <row r="2585" spans="1:3" x14ac:dyDescent="0.25">
      <c r="A2585" s="8"/>
      <c r="B2585" s="9"/>
      <c r="C2585" s="8"/>
    </row>
    <row r="2586" spans="1:3" x14ac:dyDescent="0.25">
      <c r="A2586" s="8"/>
      <c r="B2586" s="9"/>
      <c r="C2586" s="8"/>
    </row>
    <row r="2587" spans="1:3" x14ac:dyDescent="0.25">
      <c r="A2587" s="8"/>
      <c r="B2587" s="9"/>
      <c r="C2587" s="8"/>
    </row>
    <row r="2588" spans="1:3" x14ac:dyDescent="0.25">
      <c r="A2588" s="8"/>
      <c r="B2588" s="9"/>
      <c r="C2588" s="8"/>
    </row>
    <row r="2589" spans="1:3" x14ac:dyDescent="0.25">
      <c r="A2589" s="8"/>
      <c r="B2589" s="9"/>
      <c r="C2589" s="8"/>
    </row>
    <row r="2590" spans="1:3" x14ac:dyDescent="0.25">
      <c r="A2590" s="8"/>
      <c r="B2590" s="9"/>
      <c r="C2590" s="8"/>
    </row>
    <row r="2591" spans="1:3" x14ac:dyDescent="0.25">
      <c r="A2591" s="8"/>
      <c r="B2591" s="9"/>
      <c r="C2591" s="8"/>
    </row>
    <row r="2592" spans="1:3" x14ac:dyDescent="0.25">
      <c r="A2592" s="8"/>
      <c r="B2592" s="9"/>
      <c r="C2592" s="8"/>
    </row>
    <row r="2593" spans="1:3" x14ac:dyDescent="0.25">
      <c r="A2593" s="8"/>
      <c r="B2593" s="9"/>
      <c r="C2593" s="8"/>
    </row>
    <row r="2594" spans="1:3" x14ac:dyDescent="0.25">
      <c r="A2594" s="8"/>
      <c r="B2594" s="9"/>
      <c r="C2594" s="8"/>
    </row>
    <row r="2595" spans="1:3" x14ac:dyDescent="0.25">
      <c r="A2595" s="8"/>
      <c r="B2595" s="9"/>
      <c r="C2595" s="8"/>
    </row>
    <row r="2596" spans="1:3" x14ac:dyDescent="0.25">
      <c r="A2596" s="8"/>
      <c r="B2596" s="9"/>
      <c r="C2596" s="8"/>
    </row>
    <row r="2597" spans="1:3" x14ac:dyDescent="0.25">
      <c r="A2597" s="8"/>
      <c r="B2597" s="9"/>
      <c r="C2597" s="8"/>
    </row>
    <row r="2598" spans="1:3" x14ac:dyDescent="0.25">
      <c r="A2598" s="8"/>
      <c r="B2598" s="9"/>
      <c r="C2598" s="8"/>
    </row>
    <row r="2599" spans="1:3" x14ac:dyDescent="0.25">
      <c r="A2599" s="8"/>
      <c r="B2599" s="9"/>
      <c r="C2599" s="8"/>
    </row>
    <row r="2600" spans="1:3" x14ac:dyDescent="0.25">
      <c r="A2600" s="8"/>
      <c r="B2600" s="9"/>
      <c r="C2600" s="8"/>
    </row>
    <row r="2601" spans="1:3" x14ac:dyDescent="0.25">
      <c r="A2601" s="8"/>
      <c r="B2601" s="9"/>
      <c r="C2601" s="8"/>
    </row>
    <row r="2602" spans="1:3" x14ac:dyDescent="0.25">
      <c r="A2602" s="8"/>
      <c r="B2602" s="9"/>
      <c r="C2602" s="8"/>
    </row>
    <row r="2603" spans="1:3" x14ac:dyDescent="0.25">
      <c r="A2603" s="8"/>
      <c r="B2603" s="9"/>
      <c r="C2603" s="8"/>
    </row>
    <row r="2604" spans="1:3" x14ac:dyDescent="0.25">
      <c r="A2604" s="8"/>
      <c r="B2604" s="9"/>
      <c r="C2604" s="8"/>
    </row>
    <row r="2605" spans="1:3" x14ac:dyDescent="0.25">
      <c r="A2605" s="8"/>
      <c r="B2605" s="9"/>
      <c r="C2605" s="8"/>
    </row>
    <row r="2606" spans="1:3" x14ac:dyDescent="0.25">
      <c r="A2606" s="8"/>
      <c r="B2606" s="9"/>
      <c r="C2606" s="8"/>
    </row>
    <row r="2607" spans="1:3" x14ac:dyDescent="0.25">
      <c r="A2607" s="8"/>
      <c r="B2607" s="9"/>
      <c r="C2607" s="8"/>
    </row>
    <row r="2608" spans="1:3" x14ac:dyDescent="0.25">
      <c r="A2608" s="8"/>
      <c r="B2608" s="9"/>
      <c r="C2608" s="8"/>
    </row>
    <row r="2609" spans="1:3" x14ac:dyDescent="0.25">
      <c r="A2609" s="8"/>
      <c r="B2609" s="9"/>
      <c r="C2609" s="8"/>
    </row>
    <row r="2610" spans="1:3" x14ac:dyDescent="0.25">
      <c r="A2610" s="8"/>
      <c r="B2610" s="9"/>
      <c r="C2610" s="8"/>
    </row>
    <row r="2611" spans="1:3" x14ac:dyDescent="0.25">
      <c r="A2611" s="8"/>
      <c r="B2611" s="9"/>
      <c r="C2611" s="8"/>
    </row>
    <row r="2612" spans="1:3" x14ac:dyDescent="0.25">
      <c r="A2612" s="8"/>
      <c r="B2612" s="9"/>
      <c r="C2612" s="8"/>
    </row>
    <row r="2613" spans="1:3" x14ac:dyDescent="0.25">
      <c r="A2613" s="8"/>
      <c r="B2613" s="9"/>
      <c r="C2613" s="8"/>
    </row>
    <row r="2614" spans="1:3" x14ac:dyDescent="0.25">
      <c r="A2614" s="8"/>
      <c r="B2614" s="9"/>
      <c r="C2614" s="8"/>
    </row>
    <row r="2615" spans="1:3" x14ac:dyDescent="0.25">
      <c r="A2615" s="8"/>
      <c r="B2615" s="9"/>
      <c r="C2615" s="8"/>
    </row>
    <row r="2616" spans="1:3" x14ac:dyDescent="0.25">
      <c r="A2616" s="8"/>
      <c r="B2616" s="9"/>
      <c r="C2616" s="8"/>
    </row>
    <row r="2617" spans="1:3" x14ac:dyDescent="0.25">
      <c r="A2617" s="8"/>
      <c r="B2617" s="9"/>
      <c r="C2617" s="8"/>
    </row>
    <row r="2618" spans="1:3" x14ac:dyDescent="0.25">
      <c r="A2618" s="8"/>
      <c r="B2618" s="9"/>
      <c r="C2618" s="8"/>
    </row>
    <row r="2619" spans="1:3" x14ac:dyDescent="0.25">
      <c r="A2619" s="8"/>
      <c r="B2619" s="9"/>
      <c r="C2619" s="8"/>
    </row>
    <row r="2620" spans="1:3" x14ac:dyDescent="0.25">
      <c r="A2620" s="8"/>
      <c r="B2620" s="9"/>
      <c r="C2620" s="8"/>
    </row>
    <row r="2621" spans="1:3" x14ac:dyDescent="0.25">
      <c r="A2621" s="8"/>
      <c r="B2621" s="9"/>
      <c r="C2621" s="8"/>
    </row>
    <row r="2622" spans="1:3" x14ac:dyDescent="0.25">
      <c r="A2622" s="8"/>
      <c r="B2622" s="9"/>
      <c r="C2622" s="8"/>
    </row>
    <row r="2623" spans="1:3" x14ac:dyDescent="0.25">
      <c r="A2623" s="8"/>
      <c r="B2623" s="9"/>
      <c r="C2623" s="8"/>
    </row>
    <row r="2624" spans="1:3" x14ac:dyDescent="0.25">
      <c r="A2624" s="8"/>
      <c r="B2624" s="9"/>
      <c r="C2624" s="8"/>
    </row>
    <row r="2625" spans="1:3" x14ac:dyDescent="0.25">
      <c r="A2625" s="8"/>
      <c r="B2625" s="9"/>
      <c r="C2625" s="8"/>
    </row>
    <row r="2626" spans="1:3" x14ac:dyDescent="0.25">
      <c r="A2626" s="8"/>
      <c r="B2626" s="9"/>
      <c r="C2626" s="8"/>
    </row>
    <row r="2627" spans="1:3" x14ac:dyDescent="0.25">
      <c r="A2627" s="8"/>
      <c r="B2627" s="9"/>
      <c r="C2627" s="8"/>
    </row>
    <row r="2628" spans="1:3" x14ac:dyDescent="0.25">
      <c r="A2628" s="8"/>
      <c r="B2628" s="9"/>
      <c r="C2628" s="8"/>
    </row>
    <row r="2629" spans="1:3" x14ac:dyDescent="0.25">
      <c r="A2629" s="8"/>
      <c r="B2629" s="9"/>
      <c r="C2629" s="8"/>
    </row>
    <row r="2630" spans="1:3" x14ac:dyDescent="0.25">
      <c r="A2630" s="8"/>
      <c r="B2630" s="9"/>
      <c r="C2630" s="8"/>
    </row>
    <row r="2631" spans="1:3" x14ac:dyDescent="0.25">
      <c r="A2631" s="8"/>
      <c r="B2631" s="9"/>
      <c r="C2631" s="8"/>
    </row>
    <row r="2632" spans="1:3" x14ac:dyDescent="0.25">
      <c r="A2632" s="8"/>
      <c r="B2632" s="9"/>
      <c r="C2632" s="8"/>
    </row>
    <row r="2633" spans="1:3" x14ac:dyDescent="0.25">
      <c r="A2633" s="8"/>
      <c r="B2633" s="9"/>
      <c r="C2633" s="8"/>
    </row>
    <row r="2634" spans="1:3" x14ac:dyDescent="0.25">
      <c r="A2634" s="8"/>
      <c r="B2634" s="9"/>
      <c r="C2634" s="8"/>
    </row>
    <row r="2635" spans="1:3" x14ac:dyDescent="0.25">
      <c r="A2635" s="8"/>
      <c r="B2635" s="9"/>
      <c r="C2635" s="8"/>
    </row>
    <row r="2636" spans="1:3" x14ac:dyDescent="0.25">
      <c r="A2636" s="8"/>
      <c r="B2636" s="9"/>
      <c r="C2636" s="8"/>
    </row>
    <row r="2637" spans="1:3" x14ac:dyDescent="0.25">
      <c r="A2637" s="8"/>
      <c r="B2637" s="9"/>
      <c r="C2637" s="8"/>
    </row>
    <row r="2638" spans="1:3" x14ac:dyDescent="0.25">
      <c r="A2638" s="8"/>
      <c r="B2638" s="9"/>
      <c r="C2638" s="8"/>
    </row>
    <row r="2639" spans="1:3" x14ac:dyDescent="0.25">
      <c r="A2639" s="8"/>
      <c r="B2639" s="9"/>
      <c r="C2639" s="8"/>
    </row>
    <row r="2640" spans="1:3" x14ac:dyDescent="0.25">
      <c r="A2640" s="8"/>
      <c r="B2640" s="9"/>
      <c r="C2640" s="8"/>
    </row>
    <row r="2641" spans="1:3" x14ac:dyDescent="0.25">
      <c r="A2641" s="8"/>
      <c r="B2641" s="9"/>
      <c r="C2641" s="8"/>
    </row>
    <row r="2642" spans="1:3" x14ac:dyDescent="0.25">
      <c r="A2642" s="8"/>
      <c r="B2642" s="9"/>
      <c r="C2642" s="8"/>
    </row>
    <row r="2643" spans="1:3" x14ac:dyDescent="0.25">
      <c r="A2643" s="8"/>
      <c r="B2643" s="9"/>
      <c r="C2643" s="8"/>
    </row>
    <row r="2644" spans="1:3" x14ac:dyDescent="0.25">
      <c r="A2644" s="8"/>
      <c r="B2644" s="9"/>
      <c r="C2644" s="8"/>
    </row>
    <row r="2645" spans="1:3" x14ac:dyDescent="0.25">
      <c r="A2645" s="8"/>
      <c r="B2645" s="9"/>
      <c r="C2645" s="8"/>
    </row>
    <row r="2646" spans="1:3" x14ac:dyDescent="0.25">
      <c r="A2646" s="8"/>
      <c r="B2646" s="9"/>
      <c r="C2646" s="8"/>
    </row>
    <row r="2647" spans="1:3" x14ac:dyDescent="0.25">
      <c r="A2647" s="8"/>
      <c r="B2647" s="9"/>
      <c r="C2647" s="8"/>
    </row>
    <row r="2648" spans="1:3" x14ac:dyDescent="0.25">
      <c r="A2648" s="8"/>
      <c r="B2648" s="9"/>
      <c r="C2648" s="8"/>
    </row>
    <row r="2649" spans="1:3" x14ac:dyDescent="0.25">
      <c r="A2649" s="8"/>
      <c r="B2649" s="9"/>
      <c r="C2649" s="8"/>
    </row>
    <row r="2650" spans="1:3" x14ac:dyDescent="0.25">
      <c r="A2650" s="8"/>
      <c r="B2650" s="9"/>
      <c r="C2650" s="8"/>
    </row>
    <row r="2651" spans="1:3" x14ac:dyDescent="0.25">
      <c r="A2651" s="8"/>
      <c r="B2651" s="9"/>
      <c r="C2651" s="8"/>
    </row>
    <row r="2652" spans="1:3" x14ac:dyDescent="0.25">
      <c r="A2652" s="8"/>
      <c r="B2652" s="9"/>
      <c r="C2652" s="8"/>
    </row>
    <row r="2653" spans="1:3" x14ac:dyDescent="0.25">
      <c r="A2653" s="8"/>
      <c r="B2653" s="9"/>
      <c r="C2653" s="8"/>
    </row>
    <row r="2654" spans="1:3" x14ac:dyDescent="0.25">
      <c r="A2654" s="8"/>
      <c r="B2654" s="9"/>
      <c r="C2654" s="8"/>
    </row>
    <row r="2655" spans="1:3" x14ac:dyDescent="0.25">
      <c r="A2655" s="8"/>
      <c r="B2655" s="9"/>
      <c r="C2655" s="8"/>
    </row>
    <row r="2656" spans="1:3" x14ac:dyDescent="0.25">
      <c r="A2656" s="8"/>
      <c r="B2656" s="9"/>
      <c r="C2656" s="8"/>
    </row>
    <row r="2657" spans="1:3" x14ac:dyDescent="0.25">
      <c r="A2657" s="8"/>
      <c r="B2657" s="9"/>
      <c r="C2657" s="8"/>
    </row>
    <row r="2658" spans="1:3" x14ac:dyDescent="0.25">
      <c r="A2658" s="8"/>
      <c r="B2658" s="9"/>
      <c r="C2658" s="8"/>
    </row>
    <row r="2659" spans="1:3" x14ac:dyDescent="0.25">
      <c r="A2659" s="8"/>
      <c r="B2659" s="9"/>
      <c r="C2659" s="8"/>
    </row>
    <row r="2660" spans="1:3" x14ac:dyDescent="0.25">
      <c r="A2660" s="8"/>
      <c r="B2660" s="9"/>
      <c r="C2660" s="8"/>
    </row>
    <row r="2661" spans="1:3" x14ac:dyDescent="0.25">
      <c r="A2661" s="8"/>
      <c r="B2661" s="9"/>
      <c r="C2661" s="8"/>
    </row>
    <row r="2662" spans="1:3" x14ac:dyDescent="0.25">
      <c r="A2662" s="8"/>
      <c r="B2662" s="9"/>
      <c r="C2662" s="8"/>
    </row>
    <row r="2663" spans="1:3" x14ac:dyDescent="0.25">
      <c r="A2663" s="8"/>
      <c r="B2663" s="9"/>
      <c r="C2663" s="8"/>
    </row>
    <row r="2664" spans="1:3" x14ac:dyDescent="0.25">
      <c r="A2664" s="8"/>
      <c r="B2664" s="9"/>
      <c r="C2664" s="8"/>
    </row>
    <row r="2665" spans="1:3" x14ac:dyDescent="0.25">
      <c r="A2665" s="8"/>
      <c r="B2665" s="9"/>
      <c r="C2665" s="8"/>
    </row>
    <row r="2666" spans="1:3" x14ac:dyDescent="0.25">
      <c r="A2666" s="8"/>
      <c r="B2666" s="9"/>
      <c r="C2666" s="8"/>
    </row>
    <row r="2667" spans="1:3" x14ac:dyDescent="0.25">
      <c r="A2667" s="8"/>
      <c r="B2667" s="9"/>
      <c r="C2667" s="8"/>
    </row>
    <row r="2668" spans="1:3" x14ac:dyDescent="0.25">
      <c r="A2668" s="8"/>
      <c r="B2668" s="9"/>
      <c r="C2668" s="8"/>
    </row>
    <row r="2669" spans="1:3" x14ac:dyDescent="0.25">
      <c r="A2669" s="8"/>
      <c r="B2669" s="9"/>
      <c r="C2669" s="8"/>
    </row>
    <row r="2670" spans="1:3" x14ac:dyDescent="0.25">
      <c r="A2670" s="8"/>
      <c r="B2670" s="9"/>
      <c r="C2670" s="8"/>
    </row>
    <row r="2671" spans="1:3" x14ac:dyDescent="0.25">
      <c r="A2671" s="8"/>
      <c r="B2671" s="9"/>
      <c r="C2671" s="8"/>
    </row>
    <row r="2672" spans="1:3" x14ac:dyDescent="0.25">
      <c r="A2672" s="8"/>
      <c r="B2672" s="9"/>
      <c r="C2672" s="8"/>
    </row>
    <row r="2673" spans="1:3" x14ac:dyDescent="0.25">
      <c r="A2673" s="8"/>
      <c r="B2673" s="9"/>
      <c r="C2673" s="8"/>
    </row>
    <row r="2674" spans="1:3" x14ac:dyDescent="0.25">
      <c r="A2674" s="8"/>
      <c r="B2674" s="9"/>
      <c r="C2674" s="8"/>
    </row>
    <row r="2675" spans="1:3" x14ac:dyDescent="0.25">
      <c r="A2675" s="8"/>
      <c r="B2675" s="9"/>
      <c r="C2675" s="8"/>
    </row>
    <row r="2676" spans="1:3" x14ac:dyDescent="0.25">
      <c r="A2676" s="8"/>
      <c r="B2676" s="9"/>
      <c r="C2676" s="8"/>
    </row>
    <row r="2677" spans="1:3" x14ac:dyDescent="0.25">
      <c r="A2677" s="8"/>
      <c r="B2677" s="9"/>
      <c r="C2677" s="8"/>
    </row>
    <row r="2678" spans="1:3" x14ac:dyDescent="0.25">
      <c r="A2678" s="8"/>
      <c r="B2678" s="9"/>
      <c r="C2678" s="8"/>
    </row>
    <row r="2679" spans="1:3" x14ac:dyDescent="0.25">
      <c r="A2679" s="8"/>
      <c r="B2679" s="9"/>
      <c r="C2679" s="8"/>
    </row>
    <row r="2680" spans="1:3" x14ac:dyDescent="0.25">
      <c r="A2680" s="8"/>
      <c r="B2680" s="9"/>
      <c r="C2680" s="8"/>
    </row>
    <row r="2681" spans="1:3" x14ac:dyDescent="0.25">
      <c r="A2681" s="8"/>
      <c r="B2681" s="9"/>
      <c r="C2681" s="8"/>
    </row>
    <row r="2682" spans="1:3" x14ac:dyDescent="0.25">
      <c r="A2682" s="8"/>
      <c r="B2682" s="9"/>
      <c r="C2682" s="8"/>
    </row>
    <row r="2683" spans="1:3" x14ac:dyDescent="0.25">
      <c r="A2683" s="8"/>
      <c r="B2683" s="9"/>
      <c r="C2683" s="8"/>
    </row>
    <row r="2684" spans="1:3" x14ac:dyDescent="0.25">
      <c r="A2684" s="8"/>
      <c r="B2684" s="9"/>
      <c r="C2684" s="8"/>
    </row>
    <row r="2685" spans="1:3" x14ac:dyDescent="0.25">
      <c r="A2685" s="8"/>
      <c r="B2685" s="9"/>
      <c r="C2685" s="8"/>
    </row>
    <row r="2686" spans="1:3" x14ac:dyDescent="0.25">
      <c r="A2686" s="8"/>
      <c r="B2686" s="9"/>
      <c r="C2686" s="8"/>
    </row>
    <row r="2687" spans="1:3" x14ac:dyDescent="0.25">
      <c r="A2687" s="8"/>
      <c r="B2687" s="9"/>
      <c r="C2687" s="8"/>
    </row>
    <row r="2688" spans="1:3" x14ac:dyDescent="0.25">
      <c r="A2688" s="8"/>
      <c r="B2688" s="9"/>
      <c r="C2688" s="8"/>
    </row>
    <row r="2689" spans="1:3" x14ac:dyDescent="0.25">
      <c r="A2689" s="8"/>
      <c r="B2689" s="9"/>
      <c r="C2689" s="8"/>
    </row>
    <row r="2690" spans="1:3" x14ac:dyDescent="0.25">
      <c r="A2690" s="8"/>
      <c r="B2690" s="9"/>
      <c r="C2690" s="8"/>
    </row>
    <row r="2691" spans="1:3" x14ac:dyDescent="0.25">
      <c r="A2691" s="8"/>
      <c r="B2691" s="9"/>
      <c r="C2691" s="8"/>
    </row>
    <row r="2692" spans="1:3" x14ac:dyDescent="0.25">
      <c r="A2692" s="8"/>
      <c r="B2692" s="9"/>
      <c r="C2692" s="8"/>
    </row>
    <row r="2693" spans="1:3" x14ac:dyDescent="0.25">
      <c r="A2693" s="8"/>
      <c r="B2693" s="9"/>
      <c r="C2693" s="8"/>
    </row>
    <row r="2694" spans="1:3" x14ac:dyDescent="0.25">
      <c r="A2694" s="8"/>
      <c r="B2694" s="9"/>
      <c r="C2694" s="8"/>
    </row>
    <row r="2695" spans="1:3" x14ac:dyDescent="0.25">
      <c r="A2695" s="8"/>
      <c r="B2695" s="9"/>
      <c r="C2695" s="8"/>
    </row>
    <row r="2696" spans="1:3" x14ac:dyDescent="0.25">
      <c r="A2696" s="8"/>
      <c r="B2696" s="9"/>
      <c r="C2696" s="8"/>
    </row>
    <row r="2697" spans="1:3" x14ac:dyDescent="0.25">
      <c r="A2697" s="8"/>
      <c r="B2697" s="9"/>
      <c r="C2697" s="8"/>
    </row>
    <row r="2698" spans="1:3" x14ac:dyDescent="0.25">
      <c r="A2698" s="8"/>
      <c r="B2698" s="9"/>
      <c r="C2698" s="8"/>
    </row>
    <row r="2699" spans="1:3" x14ac:dyDescent="0.25">
      <c r="A2699" s="8"/>
      <c r="B2699" s="9"/>
      <c r="C2699" s="8"/>
    </row>
    <row r="2700" spans="1:3" x14ac:dyDescent="0.25">
      <c r="A2700" s="8"/>
      <c r="B2700" s="9"/>
      <c r="C2700" s="8"/>
    </row>
    <row r="2701" spans="1:3" x14ac:dyDescent="0.25">
      <c r="A2701" s="8"/>
      <c r="B2701" s="9"/>
      <c r="C2701" s="8"/>
    </row>
    <row r="2702" spans="1:3" x14ac:dyDescent="0.25">
      <c r="A2702" s="8"/>
      <c r="B2702" s="9"/>
      <c r="C2702" s="8"/>
    </row>
    <row r="2703" spans="1:3" x14ac:dyDescent="0.25">
      <c r="A2703" s="8"/>
      <c r="B2703" s="9"/>
      <c r="C2703" s="8"/>
    </row>
    <row r="2704" spans="1:3" x14ac:dyDescent="0.25">
      <c r="A2704" s="8"/>
      <c r="B2704" s="9"/>
      <c r="C2704" s="8"/>
    </row>
    <row r="2705" spans="1:3" x14ac:dyDescent="0.25">
      <c r="A2705" s="8"/>
      <c r="B2705" s="9"/>
      <c r="C2705" s="8"/>
    </row>
    <row r="2706" spans="1:3" x14ac:dyDescent="0.25">
      <c r="A2706" s="8"/>
      <c r="B2706" s="9"/>
      <c r="C2706" s="8"/>
    </row>
    <row r="2707" spans="1:3" x14ac:dyDescent="0.25">
      <c r="A2707" s="8"/>
      <c r="B2707" s="9"/>
      <c r="C2707" s="8"/>
    </row>
    <row r="2708" spans="1:3" x14ac:dyDescent="0.25">
      <c r="A2708" s="8"/>
      <c r="B2708" s="9"/>
      <c r="C2708" s="8"/>
    </row>
    <row r="2709" spans="1:3" x14ac:dyDescent="0.25">
      <c r="A2709" s="8"/>
      <c r="B2709" s="9"/>
      <c r="C2709" s="8"/>
    </row>
    <row r="2710" spans="1:3" x14ac:dyDescent="0.25">
      <c r="A2710" s="8"/>
      <c r="B2710" s="9"/>
      <c r="C2710" s="8"/>
    </row>
    <row r="2711" spans="1:3" x14ac:dyDescent="0.25">
      <c r="A2711" s="8"/>
      <c r="B2711" s="9"/>
      <c r="C2711" s="8"/>
    </row>
    <row r="2712" spans="1:3" x14ac:dyDescent="0.25">
      <c r="A2712" s="8"/>
      <c r="B2712" s="9"/>
      <c r="C2712" s="8"/>
    </row>
    <row r="2713" spans="1:3" x14ac:dyDescent="0.25">
      <c r="A2713" s="8"/>
      <c r="B2713" s="9"/>
      <c r="C2713" s="8"/>
    </row>
    <row r="2714" spans="1:3" x14ac:dyDescent="0.25">
      <c r="A2714" s="8"/>
      <c r="B2714" s="9"/>
      <c r="C2714" s="8"/>
    </row>
    <row r="2715" spans="1:3" x14ac:dyDescent="0.25">
      <c r="A2715" s="8"/>
      <c r="B2715" s="9"/>
      <c r="C2715" s="8"/>
    </row>
    <row r="2716" spans="1:3" x14ac:dyDescent="0.25">
      <c r="A2716" s="8"/>
      <c r="B2716" s="9"/>
      <c r="C2716" s="8"/>
    </row>
    <row r="2717" spans="1:3" x14ac:dyDescent="0.25">
      <c r="A2717" s="8"/>
      <c r="B2717" s="9"/>
      <c r="C2717" s="8"/>
    </row>
    <row r="2718" spans="1:3" x14ac:dyDescent="0.25">
      <c r="A2718" s="8"/>
      <c r="B2718" s="9"/>
      <c r="C2718" s="8"/>
    </row>
    <row r="2719" spans="1:3" x14ac:dyDescent="0.25">
      <c r="A2719" s="8"/>
      <c r="B2719" s="9"/>
      <c r="C2719" s="8"/>
    </row>
    <row r="2720" spans="1:3" x14ac:dyDescent="0.25">
      <c r="A2720" s="8"/>
      <c r="B2720" s="9"/>
      <c r="C2720" s="8"/>
    </row>
    <row r="2721" spans="1:3" x14ac:dyDescent="0.25">
      <c r="A2721" s="8"/>
      <c r="B2721" s="9"/>
      <c r="C2721" s="8"/>
    </row>
    <row r="2722" spans="1:3" x14ac:dyDescent="0.25">
      <c r="A2722" s="8"/>
      <c r="B2722" s="9"/>
      <c r="C2722" s="8"/>
    </row>
    <row r="2723" spans="1:3" x14ac:dyDescent="0.25">
      <c r="A2723" s="8"/>
      <c r="B2723" s="9"/>
      <c r="C2723" s="8"/>
    </row>
    <row r="2724" spans="1:3" x14ac:dyDescent="0.25">
      <c r="A2724" s="8"/>
      <c r="B2724" s="9"/>
      <c r="C2724" s="8"/>
    </row>
    <row r="2725" spans="1:3" x14ac:dyDescent="0.25">
      <c r="A2725" s="8"/>
      <c r="B2725" s="9"/>
      <c r="C2725" s="8"/>
    </row>
    <row r="2726" spans="1:3" x14ac:dyDescent="0.25">
      <c r="A2726" s="8"/>
      <c r="B2726" s="9"/>
      <c r="C2726" s="8"/>
    </row>
    <row r="2727" spans="1:3" x14ac:dyDescent="0.25">
      <c r="A2727" s="8"/>
      <c r="B2727" s="9"/>
      <c r="C2727" s="8"/>
    </row>
    <row r="2728" spans="1:3" x14ac:dyDescent="0.25">
      <c r="A2728" s="8"/>
      <c r="B2728" s="9"/>
      <c r="C2728" s="8"/>
    </row>
    <row r="2729" spans="1:3" x14ac:dyDescent="0.25">
      <c r="A2729" s="8"/>
      <c r="B2729" s="9"/>
      <c r="C2729" s="8"/>
    </row>
    <row r="2730" spans="1:3" x14ac:dyDescent="0.25">
      <c r="A2730" s="8"/>
      <c r="B2730" s="9"/>
      <c r="C2730" s="8"/>
    </row>
    <row r="2731" spans="1:3" x14ac:dyDescent="0.25">
      <c r="A2731" s="8"/>
      <c r="B2731" s="9"/>
      <c r="C2731" s="8"/>
    </row>
    <row r="2732" spans="1:3" x14ac:dyDescent="0.25">
      <c r="A2732" s="8"/>
      <c r="B2732" s="9"/>
      <c r="C2732" s="8"/>
    </row>
    <row r="2733" spans="1:3" x14ac:dyDescent="0.25">
      <c r="A2733" s="8"/>
      <c r="B2733" s="9"/>
      <c r="C2733" s="8"/>
    </row>
    <row r="2734" spans="1:3" x14ac:dyDescent="0.25">
      <c r="A2734" s="8"/>
      <c r="B2734" s="9"/>
      <c r="C2734" s="8"/>
    </row>
    <row r="2735" spans="1:3" x14ac:dyDescent="0.25">
      <c r="A2735" s="8"/>
      <c r="B2735" s="9"/>
      <c r="C2735" s="8"/>
    </row>
    <row r="2736" spans="1:3" x14ac:dyDescent="0.25">
      <c r="A2736" s="8"/>
      <c r="B2736" s="9"/>
      <c r="C2736" s="8"/>
    </row>
    <row r="2737" spans="1:3" x14ac:dyDescent="0.25">
      <c r="A2737" s="8"/>
      <c r="B2737" s="9"/>
      <c r="C2737" s="8"/>
    </row>
    <row r="2738" spans="1:3" x14ac:dyDescent="0.25">
      <c r="A2738" s="8"/>
      <c r="B2738" s="9"/>
      <c r="C2738" s="8"/>
    </row>
    <row r="2739" spans="1:3" x14ac:dyDescent="0.25">
      <c r="A2739" s="8"/>
      <c r="B2739" s="9"/>
      <c r="C2739" s="8"/>
    </row>
    <row r="2740" spans="1:3" x14ac:dyDescent="0.25">
      <c r="A2740" s="8"/>
      <c r="B2740" s="9"/>
      <c r="C2740" s="8"/>
    </row>
    <row r="2741" spans="1:3" x14ac:dyDescent="0.25">
      <c r="A2741" s="8"/>
      <c r="B2741" s="9"/>
      <c r="C2741" s="8"/>
    </row>
    <row r="2742" spans="1:3" x14ac:dyDescent="0.25">
      <c r="A2742" s="8"/>
      <c r="B2742" s="9"/>
      <c r="C2742" s="8"/>
    </row>
    <row r="2743" spans="1:3" x14ac:dyDescent="0.25">
      <c r="A2743" s="8"/>
      <c r="B2743" s="9"/>
      <c r="C2743" s="8"/>
    </row>
    <row r="2744" spans="1:3" x14ac:dyDescent="0.25">
      <c r="A2744" s="8"/>
      <c r="B2744" s="9"/>
      <c r="C2744" s="8"/>
    </row>
    <row r="2745" spans="1:3" x14ac:dyDescent="0.25">
      <c r="A2745" s="8"/>
      <c r="B2745" s="9"/>
      <c r="C2745" s="8"/>
    </row>
    <row r="2746" spans="1:3" x14ac:dyDescent="0.25">
      <c r="A2746" s="8"/>
      <c r="B2746" s="9"/>
      <c r="C2746" s="8"/>
    </row>
    <row r="2747" spans="1:3" x14ac:dyDescent="0.25">
      <c r="A2747" s="8"/>
      <c r="B2747" s="9"/>
      <c r="C2747" s="8"/>
    </row>
    <row r="2748" spans="1:3" x14ac:dyDescent="0.25">
      <c r="A2748" s="8"/>
      <c r="B2748" s="9"/>
      <c r="C2748" s="8"/>
    </row>
    <row r="2749" spans="1:3" x14ac:dyDescent="0.25">
      <c r="A2749" s="8"/>
      <c r="B2749" s="9"/>
      <c r="C2749" s="8"/>
    </row>
    <row r="2750" spans="1:3" x14ac:dyDescent="0.25">
      <c r="A2750" s="8"/>
      <c r="B2750" s="9"/>
      <c r="C2750" s="8"/>
    </row>
    <row r="2751" spans="1:3" x14ac:dyDescent="0.25">
      <c r="A2751" s="8"/>
      <c r="B2751" s="9"/>
      <c r="C2751" s="8"/>
    </row>
    <row r="2752" spans="1:3" x14ac:dyDescent="0.25">
      <c r="A2752" s="8"/>
      <c r="B2752" s="9"/>
      <c r="C2752" s="8"/>
    </row>
    <row r="2753" spans="1:3" x14ac:dyDescent="0.25">
      <c r="A2753" s="8"/>
      <c r="B2753" s="9"/>
      <c r="C2753" s="8"/>
    </row>
    <row r="2754" spans="1:3" x14ac:dyDescent="0.25">
      <c r="A2754" s="8"/>
      <c r="B2754" s="9"/>
      <c r="C2754" s="8"/>
    </row>
    <row r="2755" spans="1:3" x14ac:dyDescent="0.25">
      <c r="A2755" s="8"/>
      <c r="B2755" s="9"/>
      <c r="C2755" s="8"/>
    </row>
    <row r="2756" spans="1:3" x14ac:dyDescent="0.25">
      <c r="A2756" s="8"/>
      <c r="B2756" s="9"/>
      <c r="C2756" s="8"/>
    </row>
    <row r="2757" spans="1:3" x14ac:dyDescent="0.25">
      <c r="A2757" s="8"/>
      <c r="B2757" s="9"/>
      <c r="C2757" s="8"/>
    </row>
    <row r="2758" spans="1:3" x14ac:dyDescent="0.25">
      <c r="A2758" s="8"/>
      <c r="B2758" s="9"/>
      <c r="C2758" s="8"/>
    </row>
    <row r="2759" spans="1:3" x14ac:dyDescent="0.25">
      <c r="A2759" s="8"/>
      <c r="B2759" s="9"/>
      <c r="C2759" s="8"/>
    </row>
    <row r="2760" spans="1:3" x14ac:dyDescent="0.25">
      <c r="A2760" s="8"/>
      <c r="B2760" s="9"/>
      <c r="C2760" s="8"/>
    </row>
    <row r="2761" spans="1:3" x14ac:dyDescent="0.25">
      <c r="A2761" s="8"/>
      <c r="B2761" s="9"/>
      <c r="C2761" s="8"/>
    </row>
    <row r="2762" spans="1:3" x14ac:dyDescent="0.25">
      <c r="A2762" s="8"/>
      <c r="B2762" s="9"/>
      <c r="C2762" s="8"/>
    </row>
    <row r="2763" spans="1:3" x14ac:dyDescent="0.25">
      <c r="A2763" s="8"/>
      <c r="B2763" s="9"/>
      <c r="C2763" s="8"/>
    </row>
    <row r="2764" spans="1:3" x14ac:dyDescent="0.25">
      <c r="A2764" s="8"/>
      <c r="B2764" s="9"/>
      <c r="C2764" s="8"/>
    </row>
    <row r="2765" spans="1:3" x14ac:dyDescent="0.25">
      <c r="A2765" s="8"/>
      <c r="B2765" s="9"/>
      <c r="C2765" s="8"/>
    </row>
    <row r="2766" spans="1:3" x14ac:dyDescent="0.25">
      <c r="A2766" s="8"/>
      <c r="B2766" s="9"/>
      <c r="C2766" s="8"/>
    </row>
    <row r="2767" spans="1:3" x14ac:dyDescent="0.25">
      <c r="A2767" s="8"/>
      <c r="B2767" s="9"/>
      <c r="C2767" s="8"/>
    </row>
    <row r="2768" spans="1:3" x14ac:dyDescent="0.25">
      <c r="A2768" s="8"/>
      <c r="B2768" s="9"/>
      <c r="C2768" s="8"/>
    </row>
    <row r="2769" spans="1:3" x14ac:dyDescent="0.25">
      <c r="A2769" s="8"/>
      <c r="B2769" s="9"/>
      <c r="C2769" s="8"/>
    </row>
    <row r="2770" spans="1:3" x14ac:dyDescent="0.25">
      <c r="A2770" s="8"/>
      <c r="B2770" s="9"/>
      <c r="C2770" s="8"/>
    </row>
    <row r="2771" spans="1:3" x14ac:dyDescent="0.25">
      <c r="A2771" s="8"/>
      <c r="B2771" s="9"/>
      <c r="C2771" s="8"/>
    </row>
    <row r="2772" spans="1:3" x14ac:dyDescent="0.25">
      <c r="A2772" s="8"/>
      <c r="B2772" s="9"/>
      <c r="C2772" s="8"/>
    </row>
    <row r="2773" spans="1:3" x14ac:dyDescent="0.25">
      <c r="A2773" s="8"/>
      <c r="B2773" s="9"/>
      <c r="C2773" s="8"/>
    </row>
    <row r="2774" spans="1:3" x14ac:dyDescent="0.25">
      <c r="A2774" s="8"/>
      <c r="B2774" s="9"/>
      <c r="C2774" s="8"/>
    </row>
    <row r="2775" spans="1:3" x14ac:dyDescent="0.25">
      <c r="A2775" s="8"/>
      <c r="B2775" s="9"/>
      <c r="C2775" s="8"/>
    </row>
    <row r="2776" spans="1:3" x14ac:dyDescent="0.25">
      <c r="A2776" s="8"/>
      <c r="B2776" s="9"/>
      <c r="C2776" s="8"/>
    </row>
    <row r="2777" spans="1:3" x14ac:dyDescent="0.25">
      <c r="A2777" s="8"/>
      <c r="B2777" s="9"/>
      <c r="C2777" s="8"/>
    </row>
    <row r="2778" spans="1:3" x14ac:dyDescent="0.25">
      <c r="A2778" s="8"/>
      <c r="B2778" s="9"/>
      <c r="C2778" s="8"/>
    </row>
    <row r="2779" spans="1:3" x14ac:dyDescent="0.25">
      <c r="A2779" s="8"/>
      <c r="B2779" s="9"/>
      <c r="C2779" s="8"/>
    </row>
    <row r="2780" spans="1:3" x14ac:dyDescent="0.25">
      <c r="A2780" s="8"/>
      <c r="B2780" s="9"/>
      <c r="C2780" s="8"/>
    </row>
    <row r="2781" spans="1:3" x14ac:dyDescent="0.25">
      <c r="A2781" s="8"/>
      <c r="B2781" s="9"/>
      <c r="C2781" s="8"/>
    </row>
    <row r="2782" spans="1:3" x14ac:dyDescent="0.25">
      <c r="A2782" s="8"/>
      <c r="B2782" s="9"/>
      <c r="C2782" s="8"/>
    </row>
    <row r="2783" spans="1:3" x14ac:dyDescent="0.25">
      <c r="A2783" s="8"/>
      <c r="B2783" s="9"/>
      <c r="C2783" s="8"/>
    </row>
    <row r="2784" spans="1:3" x14ac:dyDescent="0.25">
      <c r="A2784" s="8"/>
      <c r="B2784" s="9"/>
      <c r="C2784" s="8"/>
    </row>
    <row r="2785" spans="1:3" x14ac:dyDescent="0.25">
      <c r="A2785" s="8"/>
      <c r="B2785" s="9"/>
      <c r="C2785" s="8"/>
    </row>
    <row r="2786" spans="1:3" x14ac:dyDescent="0.25">
      <c r="A2786" s="8"/>
      <c r="B2786" s="9"/>
      <c r="C2786" s="8"/>
    </row>
    <row r="2787" spans="1:3" x14ac:dyDescent="0.25">
      <c r="A2787" s="8"/>
      <c r="B2787" s="9"/>
      <c r="C2787" s="8"/>
    </row>
    <row r="2788" spans="1:3" x14ac:dyDescent="0.25">
      <c r="A2788" s="8"/>
      <c r="B2788" s="9"/>
      <c r="C2788" s="8"/>
    </row>
    <row r="2789" spans="1:3" x14ac:dyDescent="0.25">
      <c r="A2789" s="8"/>
      <c r="B2789" s="9"/>
      <c r="C2789" s="8"/>
    </row>
    <row r="2790" spans="1:3" x14ac:dyDescent="0.25">
      <c r="A2790" s="8"/>
      <c r="B2790" s="9"/>
      <c r="C2790" s="8"/>
    </row>
    <row r="2791" spans="1:3" x14ac:dyDescent="0.25">
      <c r="A2791" s="8"/>
      <c r="B2791" s="9"/>
      <c r="C2791" s="8"/>
    </row>
    <row r="2792" spans="1:3" x14ac:dyDescent="0.25">
      <c r="A2792" s="8"/>
      <c r="B2792" s="9"/>
      <c r="C2792" s="8"/>
    </row>
    <row r="2793" spans="1:3" x14ac:dyDescent="0.25">
      <c r="A2793" s="8"/>
      <c r="B2793" s="9"/>
      <c r="C2793" s="8"/>
    </row>
    <row r="2794" spans="1:3" x14ac:dyDescent="0.25">
      <c r="A2794" s="8"/>
      <c r="B2794" s="9"/>
      <c r="C2794" s="8"/>
    </row>
    <row r="2795" spans="1:3" x14ac:dyDescent="0.25">
      <c r="A2795" s="8"/>
      <c r="B2795" s="9"/>
      <c r="C2795" s="8"/>
    </row>
    <row r="2796" spans="1:3" x14ac:dyDescent="0.25">
      <c r="A2796" s="8"/>
      <c r="B2796" s="9"/>
      <c r="C2796" s="8"/>
    </row>
    <row r="2797" spans="1:3" x14ac:dyDescent="0.25">
      <c r="A2797" s="8"/>
      <c r="B2797" s="9"/>
      <c r="C2797" s="8"/>
    </row>
    <row r="2798" spans="1:3" x14ac:dyDescent="0.25">
      <c r="A2798" s="8"/>
      <c r="B2798" s="9"/>
      <c r="C2798" s="8"/>
    </row>
    <row r="2799" spans="1:3" x14ac:dyDescent="0.25">
      <c r="A2799" s="8"/>
      <c r="B2799" s="9"/>
      <c r="C2799" s="8"/>
    </row>
    <row r="2800" spans="1:3" x14ac:dyDescent="0.25">
      <c r="A2800" s="8"/>
      <c r="B2800" s="9"/>
      <c r="C2800" s="8"/>
    </row>
    <row r="2801" spans="1:3" x14ac:dyDescent="0.25">
      <c r="A2801" s="8"/>
      <c r="B2801" s="9"/>
      <c r="C2801" s="8"/>
    </row>
    <row r="2802" spans="1:3" x14ac:dyDescent="0.25">
      <c r="A2802" s="8"/>
      <c r="B2802" s="9"/>
      <c r="C2802" s="8"/>
    </row>
    <row r="2803" spans="1:3" x14ac:dyDescent="0.25">
      <c r="A2803" s="8"/>
      <c r="B2803" s="9"/>
      <c r="C2803" s="8"/>
    </row>
    <row r="2804" spans="1:3" x14ac:dyDescent="0.25">
      <c r="A2804" s="8"/>
      <c r="B2804" s="9"/>
      <c r="C2804" s="8"/>
    </row>
    <row r="2805" spans="1:3" x14ac:dyDescent="0.25">
      <c r="A2805" s="8"/>
      <c r="B2805" s="9"/>
      <c r="C2805" s="8"/>
    </row>
    <row r="2806" spans="1:3" x14ac:dyDescent="0.25">
      <c r="A2806" s="8"/>
      <c r="B2806" s="9"/>
      <c r="C2806" s="8"/>
    </row>
    <row r="2807" spans="1:3" x14ac:dyDescent="0.25">
      <c r="A2807" s="8"/>
      <c r="B2807" s="9"/>
      <c r="C2807" s="8"/>
    </row>
    <row r="2808" spans="1:3" x14ac:dyDescent="0.25">
      <c r="A2808" s="8"/>
      <c r="B2808" s="9"/>
      <c r="C2808" s="8"/>
    </row>
    <row r="2809" spans="1:3" x14ac:dyDescent="0.25">
      <c r="A2809" s="8"/>
      <c r="B2809" s="9"/>
      <c r="C2809" s="8"/>
    </row>
    <row r="2810" spans="1:3" x14ac:dyDescent="0.25">
      <c r="A2810" s="8"/>
      <c r="B2810" s="9"/>
      <c r="C2810" s="8"/>
    </row>
    <row r="2811" spans="1:3" x14ac:dyDescent="0.25">
      <c r="A2811" s="8"/>
      <c r="B2811" s="9"/>
      <c r="C2811" s="8"/>
    </row>
    <row r="2812" spans="1:3" x14ac:dyDescent="0.25">
      <c r="A2812" s="8"/>
      <c r="B2812" s="9"/>
      <c r="C2812" s="8"/>
    </row>
    <row r="2813" spans="1:3" x14ac:dyDescent="0.25">
      <c r="A2813" s="8"/>
      <c r="B2813" s="9"/>
      <c r="C2813" s="8"/>
    </row>
    <row r="2814" spans="1:3" x14ac:dyDescent="0.25">
      <c r="A2814" s="8"/>
      <c r="B2814" s="9"/>
      <c r="C2814" s="8"/>
    </row>
    <row r="2815" spans="1:3" x14ac:dyDescent="0.25">
      <c r="A2815" s="8"/>
      <c r="B2815" s="9"/>
      <c r="C2815" s="8"/>
    </row>
    <row r="2816" spans="1:3" x14ac:dyDescent="0.25">
      <c r="A2816" s="8"/>
      <c r="B2816" s="9"/>
      <c r="C2816" s="8"/>
    </row>
    <row r="2817" spans="1:3" x14ac:dyDescent="0.25">
      <c r="A2817" s="8"/>
      <c r="B2817" s="9"/>
      <c r="C2817" s="8"/>
    </row>
    <row r="2818" spans="1:3" x14ac:dyDescent="0.25">
      <c r="A2818" s="8"/>
      <c r="B2818" s="9"/>
      <c r="C2818" s="8"/>
    </row>
    <row r="2819" spans="1:3" x14ac:dyDescent="0.25">
      <c r="A2819" s="8"/>
      <c r="B2819" s="9"/>
      <c r="C2819" s="8"/>
    </row>
    <row r="2820" spans="1:3" x14ac:dyDescent="0.25">
      <c r="A2820" s="8"/>
      <c r="B2820" s="9"/>
      <c r="C2820" s="8"/>
    </row>
    <row r="2821" spans="1:3" x14ac:dyDescent="0.25">
      <c r="A2821" s="8"/>
      <c r="B2821" s="9"/>
      <c r="C2821" s="8"/>
    </row>
    <row r="2822" spans="1:3" x14ac:dyDescent="0.25">
      <c r="A2822" s="8"/>
      <c r="B2822" s="9"/>
      <c r="C2822" s="8"/>
    </row>
    <row r="2823" spans="1:3" x14ac:dyDescent="0.25">
      <c r="A2823" s="8"/>
      <c r="B2823" s="9"/>
      <c r="C2823" s="8"/>
    </row>
    <row r="2824" spans="1:3" x14ac:dyDescent="0.25">
      <c r="A2824" s="8"/>
      <c r="B2824" s="9"/>
      <c r="C2824" s="8"/>
    </row>
    <row r="2825" spans="1:3" x14ac:dyDescent="0.25">
      <c r="A2825" s="8"/>
      <c r="B2825" s="9"/>
      <c r="C2825" s="8"/>
    </row>
    <row r="2826" spans="1:3" x14ac:dyDescent="0.25">
      <c r="A2826" s="8"/>
      <c r="B2826" s="9"/>
      <c r="C2826" s="8"/>
    </row>
    <row r="2827" spans="1:3" x14ac:dyDescent="0.25">
      <c r="A2827" s="8"/>
      <c r="B2827" s="9"/>
      <c r="C2827" s="8"/>
    </row>
    <row r="2828" spans="1:3" x14ac:dyDescent="0.25">
      <c r="A2828" s="8"/>
      <c r="B2828" s="9"/>
      <c r="C2828" s="8"/>
    </row>
    <row r="2829" spans="1:3" x14ac:dyDescent="0.25">
      <c r="A2829" s="8"/>
      <c r="B2829" s="9"/>
      <c r="C2829" s="8"/>
    </row>
    <row r="2830" spans="1:3" x14ac:dyDescent="0.25">
      <c r="A2830" s="8"/>
      <c r="B2830" s="9"/>
      <c r="C2830" s="8"/>
    </row>
    <row r="2831" spans="1:3" x14ac:dyDescent="0.25">
      <c r="A2831" s="8"/>
      <c r="B2831" s="9"/>
      <c r="C2831" s="8"/>
    </row>
    <row r="2832" spans="1:3" x14ac:dyDescent="0.25">
      <c r="A2832" s="8"/>
      <c r="B2832" s="9"/>
      <c r="C2832" s="8"/>
    </row>
    <row r="2833" spans="1:3" x14ac:dyDescent="0.25">
      <c r="A2833" s="8"/>
      <c r="B2833" s="9"/>
      <c r="C2833" s="8"/>
    </row>
    <row r="2834" spans="1:3" x14ac:dyDescent="0.25">
      <c r="A2834" s="8"/>
      <c r="B2834" s="9"/>
      <c r="C2834" s="8"/>
    </row>
    <row r="2835" spans="1:3" x14ac:dyDescent="0.25">
      <c r="A2835" s="8"/>
      <c r="B2835" s="9"/>
      <c r="C2835" s="8"/>
    </row>
    <row r="2836" spans="1:3" x14ac:dyDescent="0.25">
      <c r="A2836" s="8"/>
      <c r="B2836" s="9"/>
      <c r="C2836" s="8"/>
    </row>
    <row r="2837" spans="1:3" x14ac:dyDescent="0.25">
      <c r="A2837" s="8"/>
      <c r="B2837" s="9"/>
      <c r="C2837" s="8"/>
    </row>
    <row r="2838" spans="1:3" x14ac:dyDescent="0.25">
      <c r="A2838" s="8"/>
      <c r="B2838" s="9"/>
      <c r="C2838" s="8"/>
    </row>
    <row r="2839" spans="1:3" x14ac:dyDescent="0.25">
      <c r="A2839" s="8"/>
      <c r="B2839" s="9"/>
      <c r="C2839" s="8"/>
    </row>
    <row r="2840" spans="1:3" x14ac:dyDescent="0.25">
      <c r="A2840" s="8"/>
      <c r="B2840" s="9"/>
      <c r="C2840" s="8"/>
    </row>
    <row r="2841" spans="1:3" x14ac:dyDescent="0.25">
      <c r="A2841" s="8"/>
      <c r="B2841" s="9"/>
      <c r="C2841" s="8"/>
    </row>
    <row r="2842" spans="1:3" x14ac:dyDescent="0.25">
      <c r="A2842" s="8"/>
      <c r="B2842" s="9"/>
      <c r="C2842" s="8"/>
    </row>
    <row r="2843" spans="1:3" x14ac:dyDescent="0.25">
      <c r="A2843" s="8"/>
      <c r="B2843" s="9"/>
      <c r="C2843" s="8"/>
    </row>
    <row r="2844" spans="1:3" x14ac:dyDescent="0.25">
      <c r="A2844" s="8"/>
      <c r="B2844" s="9"/>
      <c r="C2844" s="8"/>
    </row>
    <row r="2845" spans="1:3" x14ac:dyDescent="0.25">
      <c r="A2845" s="8"/>
      <c r="B2845" s="9"/>
      <c r="C2845" s="8"/>
    </row>
    <row r="2846" spans="1:3" x14ac:dyDescent="0.25">
      <c r="A2846" s="8"/>
      <c r="B2846" s="9"/>
      <c r="C2846" s="8"/>
    </row>
    <row r="2847" spans="1:3" x14ac:dyDescent="0.25">
      <c r="A2847" s="8"/>
      <c r="B2847" s="9"/>
      <c r="C2847" s="8"/>
    </row>
    <row r="2848" spans="1:3" x14ac:dyDescent="0.25">
      <c r="A2848" s="8"/>
      <c r="B2848" s="9"/>
      <c r="C2848" s="8"/>
    </row>
    <row r="2849" spans="1:3" x14ac:dyDescent="0.25">
      <c r="A2849" s="8"/>
      <c r="B2849" s="9"/>
      <c r="C2849" s="8"/>
    </row>
    <row r="2850" spans="1:3" x14ac:dyDescent="0.25">
      <c r="A2850" s="8"/>
      <c r="B2850" s="9"/>
      <c r="C2850" s="8"/>
    </row>
    <row r="2851" spans="1:3" x14ac:dyDescent="0.25">
      <c r="A2851" s="8"/>
      <c r="B2851" s="9"/>
      <c r="C2851" s="8"/>
    </row>
    <row r="2852" spans="1:3" x14ac:dyDescent="0.25">
      <c r="A2852" s="8"/>
      <c r="B2852" s="9"/>
      <c r="C2852" s="8"/>
    </row>
    <row r="2853" spans="1:3" x14ac:dyDescent="0.25">
      <c r="A2853" s="8"/>
      <c r="B2853" s="9"/>
      <c r="C2853" s="8"/>
    </row>
    <row r="2854" spans="1:3" x14ac:dyDescent="0.25">
      <c r="A2854" s="8"/>
      <c r="B2854" s="9"/>
      <c r="C2854" s="8"/>
    </row>
    <row r="2855" spans="1:3" x14ac:dyDescent="0.25">
      <c r="A2855" s="8"/>
      <c r="B2855" s="9"/>
      <c r="C2855" s="8"/>
    </row>
    <row r="2856" spans="1:3" x14ac:dyDescent="0.25">
      <c r="A2856" s="8"/>
      <c r="B2856" s="9"/>
      <c r="C2856" s="8"/>
    </row>
    <row r="2857" spans="1:3" x14ac:dyDescent="0.25">
      <c r="A2857" s="8"/>
      <c r="B2857" s="9"/>
      <c r="C2857" s="8"/>
    </row>
    <row r="2858" spans="1:3" x14ac:dyDescent="0.25">
      <c r="A2858" s="8"/>
      <c r="B2858" s="9"/>
      <c r="C2858" s="8"/>
    </row>
    <row r="2859" spans="1:3" x14ac:dyDescent="0.25">
      <c r="A2859" s="8"/>
      <c r="B2859" s="9"/>
      <c r="C2859" s="8"/>
    </row>
    <row r="2860" spans="1:3" x14ac:dyDescent="0.25">
      <c r="A2860" s="8"/>
      <c r="B2860" s="9"/>
      <c r="C2860" s="8"/>
    </row>
    <row r="2861" spans="1:3" x14ac:dyDescent="0.25">
      <c r="A2861" s="8"/>
      <c r="B2861" s="9"/>
      <c r="C2861" s="8"/>
    </row>
    <row r="2862" spans="1:3" x14ac:dyDescent="0.25">
      <c r="A2862" s="8"/>
      <c r="B2862" s="9"/>
      <c r="C2862" s="8"/>
    </row>
    <row r="2863" spans="1:3" x14ac:dyDescent="0.25">
      <c r="A2863" s="8"/>
      <c r="B2863" s="9"/>
      <c r="C2863" s="8"/>
    </row>
    <row r="2864" spans="1:3" x14ac:dyDescent="0.25">
      <c r="A2864" s="8"/>
      <c r="B2864" s="9"/>
      <c r="C2864" s="8"/>
    </row>
    <row r="2865" spans="1:3" x14ac:dyDescent="0.25">
      <c r="A2865" s="8"/>
      <c r="B2865" s="9"/>
      <c r="C2865" s="8"/>
    </row>
    <row r="2866" spans="1:3" x14ac:dyDescent="0.25">
      <c r="A2866" s="8"/>
      <c r="B2866" s="9"/>
      <c r="C2866" s="8"/>
    </row>
    <row r="2867" spans="1:3" x14ac:dyDescent="0.25">
      <c r="A2867" s="8"/>
      <c r="B2867" s="9"/>
      <c r="C2867" s="8"/>
    </row>
    <row r="2868" spans="1:3" x14ac:dyDescent="0.25">
      <c r="A2868" s="8"/>
      <c r="B2868" s="9"/>
      <c r="C2868" s="8"/>
    </row>
    <row r="2869" spans="1:3" x14ac:dyDescent="0.25">
      <c r="A2869" s="8"/>
      <c r="B2869" s="9"/>
      <c r="C2869" s="8"/>
    </row>
    <row r="2870" spans="1:3" x14ac:dyDescent="0.25">
      <c r="A2870" s="8"/>
      <c r="B2870" s="9"/>
      <c r="C2870" s="8"/>
    </row>
    <row r="2871" spans="1:3" x14ac:dyDescent="0.25">
      <c r="A2871" s="8"/>
      <c r="B2871" s="9"/>
      <c r="C2871" s="8"/>
    </row>
    <row r="2872" spans="1:3" x14ac:dyDescent="0.25">
      <c r="A2872" s="8"/>
      <c r="B2872" s="9"/>
      <c r="C2872" s="8"/>
    </row>
    <row r="2873" spans="1:3" x14ac:dyDescent="0.25">
      <c r="A2873" s="8"/>
      <c r="B2873" s="9"/>
      <c r="C2873" s="8"/>
    </row>
    <row r="2874" spans="1:3" x14ac:dyDescent="0.25">
      <c r="A2874" s="8"/>
      <c r="B2874" s="9"/>
      <c r="C2874" s="8"/>
    </row>
    <row r="2875" spans="1:3" x14ac:dyDescent="0.25">
      <c r="A2875" s="8"/>
      <c r="B2875" s="9"/>
      <c r="C2875" s="8"/>
    </row>
    <row r="2876" spans="1:3" x14ac:dyDescent="0.25">
      <c r="A2876" s="8"/>
      <c r="B2876" s="9"/>
      <c r="C2876" s="8"/>
    </row>
    <row r="2877" spans="1:3" x14ac:dyDescent="0.25">
      <c r="A2877" s="8"/>
      <c r="B2877" s="9"/>
      <c r="C2877" s="8"/>
    </row>
    <row r="2878" spans="1:3" x14ac:dyDescent="0.25">
      <c r="A2878" s="8"/>
      <c r="B2878" s="9"/>
      <c r="C2878" s="8"/>
    </row>
    <row r="2879" spans="1:3" x14ac:dyDescent="0.25">
      <c r="A2879" s="8"/>
      <c r="B2879" s="9"/>
      <c r="C2879" s="8"/>
    </row>
    <row r="2880" spans="1:3" x14ac:dyDescent="0.25">
      <c r="A2880" s="8"/>
      <c r="B2880" s="9"/>
      <c r="C2880" s="8"/>
    </row>
    <row r="2881" spans="1:3" x14ac:dyDescent="0.25">
      <c r="A2881" s="8"/>
      <c r="B2881" s="9"/>
      <c r="C2881" s="8"/>
    </row>
    <row r="2882" spans="1:3" x14ac:dyDescent="0.25">
      <c r="A2882" s="8"/>
      <c r="B2882" s="9"/>
      <c r="C2882" s="8"/>
    </row>
    <row r="2883" spans="1:3" x14ac:dyDescent="0.25">
      <c r="A2883" s="8"/>
      <c r="B2883" s="9"/>
      <c r="C2883" s="8"/>
    </row>
    <row r="2884" spans="1:3" x14ac:dyDescent="0.25">
      <c r="A2884" s="8"/>
      <c r="B2884" s="9"/>
      <c r="C2884" s="8"/>
    </row>
    <row r="2885" spans="1:3" x14ac:dyDescent="0.25">
      <c r="A2885" s="8"/>
      <c r="B2885" s="9"/>
      <c r="C2885" s="8"/>
    </row>
    <row r="2886" spans="1:3" x14ac:dyDescent="0.25">
      <c r="A2886" s="8"/>
      <c r="B2886" s="9"/>
      <c r="C2886" s="8"/>
    </row>
    <row r="2887" spans="1:3" x14ac:dyDescent="0.25">
      <c r="A2887" s="8"/>
      <c r="B2887" s="9"/>
      <c r="C2887" s="8"/>
    </row>
    <row r="2888" spans="1:3" x14ac:dyDescent="0.25">
      <c r="A2888" s="8"/>
      <c r="B2888" s="9"/>
      <c r="C2888" s="8"/>
    </row>
    <row r="2889" spans="1:3" x14ac:dyDescent="0.25">
      <c r="A2889" s="8"/>
      <c r="B2889" s="9"/>
      <c r="C2889" s="8"/>
    </row>
    <row r="2890" spans="1:3" x14ac:dyDescent="0.25">
      <c r="A2890" s="8"/>
      <c r="B2890" s="9"/>
      <c r="C2890" s="8"/>
    </row>
    <row r="2891" spans="1:3" x14ac:dyDescent="0.25">
      <c r="A2891" s="8"/>
      <c r="B2891" s="9"/>
      <c r="C2891" s="8"/>
    </row>
    <row r="2892" spans="1:3" x14ac:dyDescent="0.25">
      <c r="A2892" s="8"/>
      <c r="B2892" s="9"/>
      <c r="C2892" s="8"/>
    </row>
    <row r="2893" spans="1:3" x14ac:dyDescent="0.25">
      <c r="A2893" s="8"/>
      <c r="B2893" s="9"/>
      <c r="C2893" s="8"/>
    </row>
    <row r="2894" spans="1:3" x14ac:dyDescent="0.25">
      <c r="A2894" s="8"/>
      <c r="B2894" s="9"/>
      <c r="C2894" s="8"/>
    </row>
    <row r="2895" spans="1:3" x14ac:dyDescent="0.25">
      <c r="A2895" s="8"/>
      <c r="B2895" s="9"/>
      <c r="C2895" s="8"/>
    </row>
    <row r="2896" spans="1:3" x14ac:dyDescent="0.25">
      <c r="A2896" s="8"/>
      <c r="B2896" s="9"/>
      <c r="C2896" s="8"/>
    </row>
    <row r="2897" spans="1:3" x14ac:dyDescent="0.25">
      <c r="A2897" s="8"/>
      <c r="B2897" s="9"/>
      <c r="C2897" s="8"/>
    </row>
    <row r="2898" spans="1:3" x14ac:dyDescent="0.25">
      <c r="A2898" s="8"/>
      <c r="B2898" s="9"/>
      <c r="C2898" s="8"/>
    </row>
    <row r="2899" spans="1:3" x14ac:dyDescent="0.25">
      <c r="A2899" s="8"/>
      <c r="B2899" s="9"/>
      <c r="C2899" s="8"/>
    </row>
    <row r="2900" spans="1:3" x14ac:dyDescent="0.25">
      <c r="A2900" s="8"/>
      <c r="B2900" s="9"/>
      <c r="C2900" s="8"/>
    </row>
    <row r="2901" spans="1:3" x14ac:dyDescent="0.25">
      <c r="A2901" s="8"/>
      <c r="B2901" s="9"/>
      <c r="C2901" s="8"/>
    </row>
    <row r="2902" spans="1:3" x14ac:dyDescent="0.25">
      <c r="A2902" s="8"/>
      <c r="B2902" s="9"/>
      <c r="C2902" s="8"/>
    </row>
    <row r="2903" spans="1:3" x14ac:dyDescent="0.25">
      <c r="A2903" s="8"/>
      <c r="B2903" s="9"/>
      <c r="C2903" s="8"/>
    </row>
    <row r="2904" spans="1:3" x14ac:dyDescent="0.25">
      <c r="A2904" s="8"/>
      <c r="B2904" s="9"/>
      <c r="C2904" s="8"/>
    </row>
    <row r="2905" spans="1:3" x14ac:dyDescent="0.25">
      <c r="A2905" s="8"/>
      <c r="B2905" s="9"/>
      <c r="C2905" s="8"/>
    </row>
    <row r="2906" spans="1:3" x14ac:dyDescent="0.25">
      <c r="A2906" s="8"/>
      <c r="B2906" s="9"/>
      <c r="C2906" s="8"/>
    </row>
    <row r="2907" spans="1:3" x14ac:dyDescent="0.25">
      <c r="A2907" s="8"/>
      <c r="B2907" s="9"/>
      <c r="C2907" s="8"/>
    </row>
    <row r="2908" spans="1:3" x14ac:dyDescent="0.25">
      <c r="A2908" s="8"/>
      <c r="B2908" s="9"/>
      <c r="C2908" s="8"/>
    </row>
    <row r="2909" spans="1:3" x14ac:dyDescent="0.25">
      <c r="A2909" s="8"/>
      <c r="B2909" s="9"/>
      <c r="C2909" s="8"/>
    </row>
    <row r="2910" spans="1:3" x14ac:dyDescent="0.25">
      <c r="A2910" s="8"/>
      <c r="B2910" s="9"/>
      <c r="C2910" s="8"/>
    </row>
    <row r="2911" spans="1:3" x14ac:dyDescent="0.25">
      <c r="A2911" s="8"/>
      <c r="B2911" s="9"/>
      <c r="C2911" s="8"/>
    </row>
    <row r="2912" spans="1:3" x14ac:dyDescent="0.25">
      <c r="A2912" s="8"/>
      <c r="B2912" s="9"/>
      <c r="C2912" s="8"/>
    </row>
    <row r="2913" spans="1:3" x14ac:dyDescent="0.25">
      <c r="A2913" s="8"/>
      <c r="B2913" s="9"/>
      <c r="C2913" s="8"/>
    </row>
    <row r="2914" spans="1:3" x14ac:dyDescent="0.25">
      <c r="A2914" s="8"/>
      <c r="B2914" s="9"/>
      <c r="C2914" s="8"/>
    </row>
    <row r="2915" spans="1:3" x14ac:dyDescent="0.25">
      <c r="A2915" s="8"/>
      <c r="B2915" s="9"/>
      <c r="C2915" s="8"/>
    </row>
    <row r="2916" spans="1:3" x14ac:dyDescent="0.25">
      <c r="A2916" s="8"/>
      <c r="B2916" s="9"/>
      <c r="C2916" s="8"/>
    </row>
    <row r="2917" spans="1:3" x14ac:dyDescent="0.25">
      <c r="A2917" s="8"/>
      <c r="B2917" s="9"/>
      <c r="C2917" s="8"/>
    </row>
    <row r="2918" spans="1:3" x14ac:dyDescent="0.25">
      <c r="A2918" s="8"/>
      <c r="B2918" s="9"/>
      <c r="C2918" s="8"/>
    </row>
    <row r="2919" spans="1:3" x14ac:dyDescent="0.25">
      <c r="A2919" s="8"/>
      <c r="B2919" s="9"/>
      <c r="C2919" s="8"/>
    </row>
    <row r="2920" spans="1:3" x14ac:dyDescent="0.25">
      <c r="A2920" s="8"/>
      <c r="B2920" s="9"/>
      <c r="C2920" s="8"/>
    </row>
    <row r="2921" spans="1:3" x14ac:dyDescent="0.25">
      <c r="A2921" s="8"/>
      <c r="B2921" s="9"/>
      <c r="C2921" s="8"/>
    </row>
    <row r="2922" spans="1:3" x14ac:dyDescent="0.25">
      <c r="A2922" s="8"/>
      <c r="B2922" s="9"/>
      <c r="C2922" s="8"/>
    </row>
    <row r="2923" spans="1:3" x14ac:dyDescent="0.25">
      <c r="A2923" s="8"/>
      <c r="B2923" s="9"/>
      <c r="C2923" s="8"/>
    </row>
    <row r="2924" spans="1:3" x14ac:dyDescent="0.25">
      <c r="A2924" s="8"/>
      <c r="B2924" s="9"/>
      <c r="C2924" s="8"/>
    </row>
    <row r="2925" spans="1:3" x14ac:dyDescent="0.25">
      <c r="A2925" s="8"/>
      <c r="B2925" s="9"/>
      <c r="C2925" s="8"/>
    </row>
    <row r="2926" spans="1:3" x14ac:dyDescent="0.25">
      <c r="A2926" s="8"/>
      <c r="B2926" s="9"/>
      <c r="C2926" s="8"/>
    </row>
    <row r="2927" spans="1:3" x14ac:dyDescent="0.25">
      <c r="A2927" s="8"/>
      <c r="B2927" s="9"/>
      <c r="C2927" s="8"/>
    </row>
    <row r="2928" spans="1:3" x14ac:dyDescent="0.25">
      <c r="A2928" s="8"/>
      <c r="B2928" s="9"/>
      <c r="C2928" s="8"/>
    </row>
    <row r="2929" spans="1:3" x14ac:dyDescent="0.25">
      <c r="A2929" s="8"/>
      <c r="B2929" s="9"/>
      <c r="C2929" s="8"/>
    </row>
    <row r="2930" spans="1:3" x14ac:dyDescent="0.25">
      <c r="A2930" s="8"/>
      <c r="B2930" s="9"/>
      <c r="C2930" s="8"/>
    </row>
    <row r="2931" spans="1:3" x14ac:dyDescent="0.25">
      <c r="A2931" s="8"/>
      <c r="B2931" s="9"/>
      <c r="C2931" s="8"/>
    </row>
    <row r="2932" spans="1:3" x14ac:dyDescent="0.25">
      <c r="A2932" s="8"/>
      <c r="B2932" s="9"/>
      <c r="C2932" s="8"/>
    </row>
    <row r="2933" spans="1:3" x14ac:dyDescent="0.25">
      <c r="A2933" s="8"/>
      <c r="B2933" s="9"/>
      <c r="C2933" s="8"/>
    </row>
    <row r="2934" spans="1:3" x14ac:dyDescent="0.25">
      <c r="A2934" s="8"/>
      <c r="B2934" s="9"/>
      <c r="C2934" s="8"/>
    </row>
    <row r="2935" spans="1:3" x14ac:dyDescent="0.25">
      <c r="A2935" s="8"/>
      <c r="B2935" s="9"/>
      <c r="C2935" s="8"/>
    </row>
    <row r="2936" spans="1:3" x14ac:dyDescent="0.25">
      <c r="A2936" s="8"/>
      <c r="B2936" s="9"/>
      <c r="C2936" s="8"/>
    </row>
    <row r="2937" spans="1:3" x14ac:dyDescent="0.25">
      <c r="A2937" s="8"/>
      <c r="B2937" s="9"/>
      <c r="C2937" s="8"/>
    </row>
    <row r="2938" spans="1:3" x14ac:dyDescent="0.25">
      <c r="A2938" s="8"/>
      <c r="B2938" s="9"/>
      <c r="C2938" s="8"/>
    </row>
    <row r="2939" spans="1:3" x14ac:dyDescent="0.25">
      <c r="A2939" s="8"/>
      <c r="B2939" s="9"/>
      <c r="C2939" s="8"/>
    </row>
    <row r="2940" spans="1:3" x14ac:dyDescent="0.25">
      <c r="A2940" s="8"/>
      <c r="B2940" s="9"/>
      <c r="C2940" s="8"/>
    </row>
    <row r="2941" spans="1:3" x14ac:dyDescent="0.25">
      <c r="A2941" s="8"/>
      <c r="B2941" s="9"/>
      <c r="C2941" s="8"/>
    </row>
    <row r="2942" spans="1:3" x14ac:dyDescent="0.25">
      <c r="A2942" s="8"/>
      <c r="B2942" s="9"/>
      <c r="C2942" s="8"/>
    </row>
    <row r="2943" spans="1:3" x14ac:dyDescent="0.25">
      <c r="A2943" s="8"/>
      <c r="B2943" s="9"/>
      <c r="C2943" s="8"/>
    </row>
    <row r="2944" spans="1:3" x14ac:dyDescent="0.25">
      <c r="A2944" s="8"/>
      <c r="B2944" s="9"/>
      <c r="C2944" s="8"/>
    </row>
    <row r="2945" spans="1:3" x14ac:dyDescent="0.25">
      <c r="A2945" s="8"/>
      <c r="B2945" s="9"/>
      <c r="C2945" s="8"/>
    </row>
    <row r="2946" spans="1:3" x14ac:dyDescent="0.25">
      <c r="A2946" s="8"/>
      <c r="B2946" s="9"/>
      <c r="C2946" s="8"/>
    </row>
    <row r="2947" spans="1:3" x14ac:dyDescent="0.25">
      <c r="A2947" s="8"/>
      <c r="B2947" s="9"/>
      <c r="C2947" s="8"/>
    </row>
    <row r="2948" spans="1:3" x14ac:dyDescent="0.25">
      <c r="A2948" s="8"/>
      <c r="B2948" s="9"/>
      <c r="C2948" s="8"/>
    </row>
    <row r="2949" spans="1:3" x14ac:dyDescent="0.25">
      <c r="A2949" s="8"/>
      <c r="B2949" s="9"/>
      <c r="C2949" s="8"/>
    </row>
    <row r="2950" spans="1:3" x14ac:dyDescent="0.25">
      <c r="A2950" s="8"/>
      <c r="B2950" s="9"/>
      <c r="C2950" s="8"/>
    </row>
    <row r="2951" spans="1:3" x14ac:dyDescent="0.25">
      <c r="A2951" s="8"/>
      <c r="B2951" s="9"/>
      <c r="C2951" s="8"/>
    </row>
    <row r="2952" spans="1:3" x14ac:dyDescent="0.25">
      <c r="A2952" s="8"/>
      <c r="B2952" s="9"/>
      <c r="C2952" s="8"/>
    </row>
    <row r="2953" spans="1:3" x14ac:dyDescent="0.25">
      <c r="A2953" s="8"/>
      <c r="B2953" s="9"/>
      <c r="C2953" s="8"/>
    </row>
    <row r="2954" spans="1:3" x14ac:dyDescent="0.25">
      <c r="A2954" s="8"/>
      <c r="B2954" s="9"/>
      <c r="C2954" s="8"/>
    </row>
    <row r="2955" spans="1:3" x14ac:dyDescent="0.25">
      <c r="A2955" s="8"/>
      <c r="B2955" s="9"/>
      <c r="C2955" s="8"/>
    </row>
    <row r="2956" spans="1:3" x14ac:dyDescent="0.25">
      <c r="A2956" s="8"/>
      <c r="B2956" s="9"/>
      <c r="C2956" s="8"/>
    </row>
    <row r="2957" spans="1:3" x14ac:dyDescent="0.25">
      <c r="A2957" s="8"/>
      <c r="B2957" s="9"/>
      <c r="C2957" s="8"/>
    </row>
    <row r="2958" spans="1:3" x14ac:dyDescent="0.25">
      <c r="A2958" s="8"/>
      <c r="B2958" s="9"/>
      <c r="C2958" s="8"/>
    </row>
    <row r="2959" spans="1:3" x14ac:dyDescent="0.25">
      <c r="A2959" s="8"/>
      <c r="B2959" s="9"/>
      <c r="C2959" s="8"/>
    </row>
    <row r="2960" spans="1:3" x14ac:dyDescent="0.25">
      <c r="A2960" s="8"/>
      <c r="B2960" s="9"/>
      <c r="C2960" s="8"/>
    </row>
    <row r="2961" spans="1:3" x14ac:dyDescent="0.25">
      <c r="A2961" s="8"/>
      <c r="B2961" s="9"/>
      <c r="C2961" s="8"/>
    </row>
    <row r="2962" spans="1:3" x14ac:dyDescent="0.25">
      <c r="A2962" s="8"/>
      <c r="B2962" s="9"/>
      <c r="C2962" s="8"/>
    </row>
    <row r="2963" spans="1:3" x14ac:dyDescent="0.25">
      <c r="A2963" s="8"/>
      <c r="B2963" s="9"/>
      <c r="C2963" s="8"/>
    </row>
    <row r="2964" spans="1:3" x14ac:dyDescent="0.25">
      <c r="A2964" s="8"/>
      <c r="B2964" s="9"/>
      <c r="C2964" s="8"/>
    </row>
    <row r="2965" spans="1:3" x14ac:dyDescent="0.25">
      <c r="A2965" s="8"/>
      <c r="B2965" s="9"/>
      <c r="C2965" s="8"/>
    </row>
    <row r="2966" spans="1:3" x14ac:dyDescent="0.25">
      <c r="A2966" s="8"/>
      <c r="B2966" s="9"/>
      <c r="C2966" s="8"/>
    </row>
    <row r="2967" spans="1:3" x14ac:dyDescent="0.25">
      <c r="A2967" s="8"/>
      <c r="B2967" s="9"/>
      <c r="C2967" s="8"/>
    </row>
    <row r="2968" spans="1:3" x14ac:dyDescent="0.25">
      <c r="A2968" s="8"/>
      <c r="B2968" s="9"/>
      <c r="C2968" s="8"/>
    </row>
    <row r="2969" spans="1:3" x14ac:dyDescent="0.25">
      <c r="A2969" s="8"/>
      <c r="B2969" s="9"/>
      <c r="C2969" s="8"/>
    </row>
    <row r="2970" spans="1:3" x14ac:dyDescent="0.25">
      <c r="A2970" s="8"/>
      <c r="B2970" s="9"/>
      <c r="C2970" s="8"/>
    </row>
    <row r="2971" spans="1:3" x14ac:dyDescent="0.25">
      <c r="A2971" s="8"/>
      <c r="B2971" s="9"/>
      <c r="C2971" s="8"/>
    </row>
    <row r="2972" spans="1:3" x14ac:dyDescent="0.25">
      <c r="A2972" s="8"/>
      <c r="B2972" s="9"/>
      <c r="C2972" s="8"/>
    </row>
    <row r="2973" spans="1:3" x14ac:dyDescent="0.25">
      <c r="A2973" s="8"/>
      <c r="B2973" s="9"/>
      <c r="C2973" s="8"/>
    </row>
    <row r="2974" spans="1:3" x14ac:dyDescent="0.25">
      <c r="A2974" s="8"/>
      <c r="B2974" s="9"/>
      <c r="C2974" s="8"/>
    </row>
    <row r="2975" spans="1:3" x14ac:dyDescent="0.25">
      <c r="A2975" s="8"/>
      <c r="B2975" s="9"/>
      <c r="C2975" s="8"/>
    </row>
    <row r="2976" spans="1:3" x14ac:dyDescent="0.25">
      <c r="A2976" s="8"/>
      <c r="B2976" s="9"/>
      <c r="C2976" s="8"/>
    </row>
    <row r="2977" spans="1:3" x14ac:dyDescent="0.25">
      <c r="A2977" s="8"/>
      <c r="B2977" s="9"/>
      <c r="C2977" s="8"/>
    </row>
    <row r="2978" spans="1:3" x14ac:dyDescent="0.25">
      <c r="A2978" s="8"/>
      <c r="B2978" s="9"/>
      <c r="C2978" s="8"/>
    </row>
    <row r="2979" spans="1:3" x14ac:dyDescent="0.25">
      <c r="A2979" s="8"/>
      <c r="B2979" s="9"/>
      <c r="C2979" s="8"/>
    </row>
    <row r="2980" spans="1:3" x14ac:dyDescent="0.25">
      <c r="A2980" s="8"/>
      <c r="B2980" s="9"/>
      <c r="C2980" s="8"/>
    </row>
    <row r="2981" spans="1:3" x14ac:dyDescent="0.25">
      <c r="A2981" s="8"/>
      <c r="B2981" s="9"/>
      <c r="C2981" s="8"/>
    </row>
    <row r="2982" spans="1:3" x14ac:dyDescent="0.25">
      <c r="A2982" s="8"/>
      <c r="B2982" s="9"/>
      <c r="C2982" s="8"/>
    </row>
    <row r="2983" spans="1:3" x14ac:dyDescent="0.25">
      <c r="A2983" s="8"/>
      <c r="B2983" s="9"/>
      <c r="C2983" s="8"/>
    </row>
    <row r="2984" spans="1:3" x14ac:dyDescent="0.25">
      <c r="A2984" s="8"/>
      <c r="B2984" s="9"/>
      <c r="C2984" s="8"/>
    </row>
    <row r="2985" spans="1:3" x14ac:dyDescent="0.25">
      <c r="A2985" s="8"/>
      <c r="B2985" s="9"/>
      <c r="C2985" s="8"/>
    </row>
    <row r="2986" spans="1:3" x14ac:dyDescent="0.25">
      <c r="A2986" s="8"/>
      <c r="B2986" s="9"/>
      <c r="C2986" s="8"/>
    </row>
    <row r="2987" spans="1:3" x14ac:dyDescent="0.25">
      <c r="A2987" s="8"/>
      <c r="B2987" s="9"/>
      <c r="C2987" s="8"/>
    </row>
    <row r="2988" spans="1:3" x14ac:dyDescent="0.25">
      <c r="A2988" s="8"/>
      <c r="B2988" s="9"/>
      <c r="C2988" s="8"/>
    </row>
    <row r="2989" spans="1:3" x14ac:dyDescent="0.25">
      <c r="A2989" s="8"/>
      <c r="B2989" s="9"/>
      <c r="C2989" s="8"/>
    </row>
    <row r="2990" spans="1:3" x14ac:dyDescent="0.25">
      <c r="A2990" s="8"/>
      <c r="B2990" s="9"/>
      <c r="C2990" s="8"/>
    </row>
    <row r="2991" spans="1:3" x14ac:dyDescent="0.25">
      <c r="A2991" s="8"/>
      <c r="B2991" s="9"/>
      <c r="C2991" s="8"/>
    </row>
    <row r="2992" spans="1:3" x14ac:dyDescent="0.25">
      <c r="A2992" s="8"/>
      <c r="B2992" s="9"/>
      <c r="C2992" s="8"/>
    </row>
    <row r="2993" spans="1:3" x14ac:dyDescent="0.25">
      <c r="A2993" s="8"/>
      <c r="B2993" s="9"/>
      <c r="C2993" s="8"/>
    </row>
    <row r="2994" spans="1:3" x14ac:dyDescent="0.25">
      <c r="A2994" s="8"/>
      <c r="B2994" s="9"/>
      <c r="C2994" s="8"/>
    </row>
    <row r="2995" spans="1:3" x14ac:dyDescent="0.25">
      <c r="A2995" s="8"/>
      <c r="B2995" s="9"/>
      <c r="C2995" s="8"/>
    </row>
    <row r="2996" spans="1:3" x14ac:dyDescent="0.25">
      <c r="A2996" s="8"/>
      <c r="B2996" s="9"/>
      <c r="C2996" s="8"/>
    </row>
    <row r="2997" spans="1:3" x14ac:dyDescent="0.25">
      <c r="A2997" s="8"/>
      <c r="B2997" s="9"/>
      <c r="C2997" s="8"/>
    </row>
    <row r="2998" spans="1:3" x14ac:dyDescent="0.25">
      <c r="A2998" s="8"/>
      <c r="B2998" s="9"/>
      <c r="C2998" s="8"/>
    </row>
    <row r="2999" spans="1:3" x14ac:dyDescent="0.25">
      <c r="A2999" s="8"/>
      <c r="B2999" s="9"/>
      <c r="C2999" s="8"/>
    </row>
    <row r="3000" spans="1:3" x14ac:dyDescent="0.25">
      <c r="A3000" s="8"/>
      <c r="B3000" s="9"/>
      <c r="C3000" s="8"/>
    </row>
    <row r="3001" spans="1:3" x14ac:dyDescent="0.25">
      <c r="A3001" s="8"/>
      <c r="B3001" s="9"/>
      <c r="C3001" s="8"/>
    </row>
    <row r="3002" spans="1:3" x14ac:dyDescent="0.25">
      <c r="A3002" s="8"/>
      <c r="B3002" s="9"/>
      <c r="C3002" s="8"/>
    </row>
    <row r="3003" spans="1:3" x14ac:dyDescent="0.25">
      <c r="A3003" s="8"/>
      <c r="B3003" s="9"/>
      <c r="C3003" s="8"/>
    </row>
    <row r="3004" spans="1:3" x14ac:dyDescent="0.25">
      <c r="A3004" s="8"/>
      <c r="B3004" s="9"/>
      <c r="C3004" s="8"/>
    </row>
    <row r="3005" spans="1:3" x14ac:dyDescent="0.25">
      <c r="A3005" s="8"/>
      <c r="B3005" s="9"/>
      <c r="C3005" s="8"/>
    </row>
    <row r="3006" spans="1:3" x14ac:dyDescent="0.25">
      <c r="A3006" s="8"/>
      <c r="B3006" s="9"/>
      <c r="C3006" s="8"/>
    </row>
    <row r="3007" spans="1:3" x14ac:dyDescent="0.25">
      <c r="A3007" s="8"/>
      <c r="B3007" s="9"/>
      <c r="C3007" s="8"/>
    </row>
    <row r="3008" spans="1:3" x14ac:dyDescent="0.25">
      <c r="A3008" s="8"/>
      <c r="B3008" s="9"/>
      <c r="C3008" s="8"/>
    </row>
    <row r="3009" spans="1:3" x14ac:dyDescent="0.25">
      <c r="A3009" s="8"/>
      <c r="B3009" s="9"/>
      <c r="C3009" s="8"/>
    </row>
    <row r="3010" spans="1:3" x14ac:dyDescent="0.25">
      <c r="A3010" s="8"/>
      <c r="B3010" s="9"/>
      <c r="C3010" s="8"/>
    </row>
    <row r="3011" spans="1:3" x14ac:dyDescent="0.25">
      <c r="A3011" s="8"/>
      <c r="B3011" s="9"/>
      <c r="C3011" s="8"/>
    </row>
    <row r="3012" spans="1:3" x14ac:dyDescent="0.25">
      <c r="A3012" s="8"/>
      <c r="B3012" s="9"/>
      <c r="C3012" s="8"/>
    </row>
    <row r="3013" spans="1:3" x14ac:dyDescent="0.25">
      <c r="A3013" s="8"/>
      <c r="B3013" s="9"/>
      <c r="C3013" s="8"/>
    </row>
    <row r="3014" spans="1:3" x14ac:dyDescent="0.25">
      <c r="A3014" s="8"/>
      <c r="B3014" s="9"/>
      <c r="C3014" s="8"/>
    </row>
    <row r="3015" spans="1:3" x14ac:dyDescent="0.25">
      <c r="A3015" s="8"/>
      <c r="B3015" s="9"/>
      <c r="C3015" s="8"/>
    </row>
    <row r="3016" spans="1:3" x14ac:dyDescent="0.25">
      <c r="A3016" s="8"/>
      <c r="B3016" s="9"/>
      <c r="C3016" s="8"/>
    </row>
    <row r="3017" spans="1:3" x14ac:dyDescent="0.25">
      <c r="A3017" s="8"/>
      <c r="B3017" s="9"/>
      <c r="C3017" s="8"/>
    </row>
    <row r="3018" spans="1:3" x14ac:dyDescent="0.25">
      <c r="A3018" s="8"/>
      <c r="B3018" s="9"/>
      <c r="C3018" s="8"/>
    </row>
    <row r="3019" spans="1:3" x14ac:dyDescent="0.25">
      <c r="A3019" s="8"/>
      <c r="B3019" s="9"/>
      <c r="C3019" s="8"/>
    </row>
    <row r="3020" spans="1:3" x14ac:dyDescent="0.25">
      <c r="A3020" s="8"/>
      <c r="B3020" s="9"/>
      <c r="C3020" s="8"/>
    </row>
    <row r="3021" spans="1:3" x14ac:dyDescent="0.25">
      <c r="A3021" s="8"/>
      <c r="B3021" s="9"/>
      <c r="C3021" s="8"/>
    </row>
    <row r="3022" spans="1:3" x14ac:dyDescent="0.25">
      <c r="A3022" s="8"/>
      <c r="B3022" s="9"/>
      <c r="C3022" s="8"/>
    </row>
    <row r="3023" spans="1:3" x14ac:dyDescent="0.25">
      <c r="A3023" s="8"/>
      <c r="B3023" s="9"/>
      <c r="C3023" s="8"/>
    </row>
    <row r="3024" spans="1:3" x14ac:dyDescent="0.25">
      <c r="A3024" s="8"/>
      <c r="B3024" s="9"/>
      <c r="C3024" s="8"/>
    </row>
    <row r="3025" spans="1:3" x14ac:dyDescent="0.25">
      <c r="A3025" s="8"/>
      <c r="B3025" s="9"/>
      <c r="C3025" s="8"/>
    </row>
    <row r="3026" spans="1:3" x14ac:dyDescent="0.25">
      <c r="A3026" s="8"/>
      <c r="B3026" s="9"/>
      <c r="C3026" s="8"/>
    </row>
    <row r="3027" spans="1:3" x14ac:dyDescent="0.25">
      <c r="A3027" s="8"/>
      <c r="B3027" s="9"/>
      <c r="C3027" s="8"/>
    </row>
    <row r="3028" spans="1:3" x14ac:dyDescent="0.25">
      <c r="A3028" s="8"/>
      <c r="B3028" s="9"/>
      <c r="C3028" s="8"/>
    </row>
    <row r="3029" spans="1:3" x14ac:dyDescent="0.25">
      <c r="A3029" s="8"/>
      <c r="B3029" s="9"/>
      <c r="C3029" s="8"/>
    </row>
    <row r="3030" spans="1:3" x14ac:dyDescent="0.25">
      <c r="A3030" s="8"/>
      <c r="B3030" s="9"/>
      <c r="C3030" s="8"/>
    </row>
    <row r="3031" spans="1:3" x14ac:dyDescent="0.25">
      <c r="A3031" s="8"/>
      <c r="B3031" s="9"/>
      <c r="C3031" s="8"/>
    </row>
    <row r="3032" spans="1:3" x14ac:dyDescent="0.25">
      <c r="A3032" s="8"/>
      <c r="B3032" s="9"/>
      <c r="C3032" s="8"/>
    </row>
    <row r="3033" spans="1:3" x14ac:dyDescent="0.25">
      <c r="A3033" s="8"/>
      <c r="B3033" s="9"/>
      <c r="C3033" s="8"/>
    </row>
    <row r="3034" spans="1:3" x14ac:dyDescent="0.25">
      <c r="A3034" s="8"/>
      <c r="B3034" s="9"/>
      <c r="C3034" s="8"/>
    </row>
    <row r="3035" spans="1:3" x14ac:dyDescent="0.25">
      <c r="A3035" s="8"/>
      <c r="B3035" s="9"/>
      <c r="C3035" s="8"/>
    </row>
    <row r="3036" spans="1:3" x14ac:dyDescent="0.25">
      <c r="A3036" s="8"/>
      <c r="B3036" s="9"/>
      <c r="C3036" s="8"/>
    </row>
    <row r="3037" spans="1:3" x14ac:dyDescent="0.25">
      <c r="A3037" s="8"/>
      <c r="B3037" s="9"/>
      <c r="C3037" s="8"/>
    </row>
    <row r="3038" spans="1:3" x14ac:dyDescent="0.25">
      <c r="A3038" s="8"/>
      <c r="B3038" s="9"/>
      <c r="C3038" s="8"/>
    </row>
    <row r="3039" spans="1:3" x14ac:dyDescent="0.25">
      <c r="A3039" s="8"/>
      <c r="B3039" s="9"/>
      <c r="C3039" s="8"/>
    </row>
    <row r="3040" spans="1:3" x14ac:dyDescent="0.25">
      <c r="A3040" s="8"/>
      <c r="B3040" s="9"/>
      <c r="C3040" s="8"/>
    </row>
    <row r="3041" spans="1:3" x14ac:dyDescent="0.25">
      <c r="A3041" s="8"/>
      <c r="B3041" s="9"/>
      <c r="C3041" s="8"/>
    </row>
    <row r="3042" spans="1:3" x14ac:dyDescent="0.25">
      <c r="A3042" s="8"/>
      <c r="B3042" s="9"/>
      <c r="C3042" s="8"/>
    </row>
    <row r="3043" spans="1:3" x14ac:dyDescent="0.25">
      <c r="A3043" s="8"/>
      <c r="B3043" s="9"/>
      <c r="C3043" s="8"/>
    </row>
    <row r="3044" spans="1:3" x14ac:dyDescent="0.25">
      <c r="A3044" s="8"/>
      <c r="B3044" s="9"/>
      <c r="C3044" s="8"/>
    </row>
    <row r="3045" spans="1:3" x14ac:dyDescent="0.25">
      <c r="A3045" s="8"/>
      <c r="B3045" s="9"/>
      <c r="C3045" s="8"/>
    </row>
    <row r="3046" spans="1:3" x14ac:dyDescent="0.25">
      <c r="A3046" s="8"/>
      <c r="B3046" s="9"/>
      <c r="C3046" s="8"/>
    </row>
    <row r="3047" spans="1:3" x14ac:dyDescent="0.25">
      <c r="A3047" s="8"/>
      <c r="B3047" s="9"/>
      <c r="C3047" s="8"/>
    </row>
    <row r="3048" spans="1:3" x14ac:dyDescent="0.25">
      <c r="A3048" s="8"/>
      <c r="B3048" s="9"/>
      <c r="C3048" s="8"/>
    </row>
    <row r="3049" spans="1:3" x14ac:dyDescent="0.25">
      <c r="A3049" s="8"/>
      <c r="B3049" s="9"/>
      <c r="C3049" s="8"/>
    </row>
    <row r="3050" spans="1:3" x14ac:dyDescent="0.25">
      <c r="A3050" s="8"/>
      <c r="B3050" s="9"/>
      <c r="C3050" s="8"/>
    </row>
    <row r="3051" spans="1:3" x14ac:dyDescent="0.25">
      <c r="A3051" s="8"/>
      <c r="B3051" s="9"/>
      <c r="C3051" s="8"/>
    </row>
    <row r="3052" spans="1:3" x14ac:dyDescent="0.25">
      <c r="A3052" s="8"/>
      <c r="B3052" s="9"/>
      <c r="C3052" s="8"/>
    </row>
    <row r="3053" spans="1:3" x14ac:dyDescent="0.25">
      <c r="A3053" s="8"/>
      <c r="B3053" s="9"/>
      <c r="C3053" s="8"/>
    </row>
    <row r="3054" spans="1:3" x14ac:dyDescent="0.25">
      <c r="A3054" s="8"/>
      <c r="B3054" s="9"/>
      <c r="C3054" s="8"/>
    </row>
    <row r="3055" spans="1:3" x14ac:dyDescent="0.25">
      <c r="A3055" s="8"/>
      <c r="B3055" s="9"/>
      <c r="C3055" s="8"/>
    </row>
    <row r="3056" spans="1:3" x14ac:dyDescent="0.25">
      <c r="A3056" s="8"/>
      <c r="B3056" s="9"/>
      <c r="C3056" s="8"/>
    </row>
    <row r="3057" spans="1:3" x14ac:dyDescent="0.25">
      <c r="A3057" s="8"/>
      <c r="B3057" s="9"/>
      <c r="C3057" s="8"/>
    </row>
    <row r="3058" spans="1:3" x14ac:dyDescent="0.25">
      <c r="A3058" s="8"/>
      <c r="B3058" s="9"/>
      <c r="C3058" s="8"/>
    </row>
    <row r="3059" spans="1:3" x14ac:dyDescent="0.25">
      <c r="A3059" s="8"/>
      <c r="B3059" s="9"/>
      <c r="C3059" s="8"/>
    </row>
    <row r="3060" spans="1:3" x14ac:dyDescent="0.25">
      <c r="A3060" s="8"/>
      <c r="B3060" s="9"/>
      <c r="C3060" s="8"/>
    </row>
    <row r="3061" spans="1:3" x14ac:dyDescent="0.25">
      <c r="A3061" s="8"/>
      <c r="B3061" s="9"/>
      <c r="C3061" s="8"/>
    </row>
    <row r="3062" spans="1:3" x14ac:dyDescent="0.25">
      <c r="A3062" s="8"/>
      <c r="B3062" s="9"/>
      <c r="C3062" s="8"/>
    </row>
    <row r="3063" spans="1:3" x14ac:dyDescent="0.25">
      <c r="A3063" s="8"/>
      <c r="B3063" s="9"/>
      <c r="C3063" s="8"/>
    </row>
    <row r="3064" spans="1:3" x14ac:dyDescent="0.25">
      <c r="A3064" s="8"/>
      <c r="B3064" s="9"/>
      <c r="C3064" s="8"/>
    </row>
    <row r="3065" spans="1:3" x14ac:dyDescent="0.25">
      <c r="A3065" s="8"/>
      <c r="B3065" s="9"/>
      <c r="C3065" s="8"/>
    </row>
    <row r="3066" spans="1:3" x14ac:dyDescent="0.25">
      <c r="A3066" s="8"/>
      <c r="B3066" s="9"/>
      <c r="C3066" s="8"/>
    </row>
    <row r="3067" spans="1:3" x14ac:dyDescent="0.25">
      <c r="A3067" s="8"/>
      <c r="B3067" s="9"/>
      <c r="C3067" s="8"/>
    </row>
    <row r="3068" spans="1:3" x14ac:dyDescent="0.25">
      <c r="A3068" s="8"/>
      <c r="B3068" s="9"/>
      <c r="C3068" s="8"/>
    </row>
    <row r="3069" spans="1:3" x14ac:dyDescent="0.25">
      <c r="A3069" s="8"/>
      <c r="B3069" s="9"/>
      <c r="C3069" s="8"/>
    </row>
    <row r="3070" spans="1:3" x14ac:dyDescent="0.25">
      <c r="A3070" s="8"/>
      <c r="B3070" s="9"/>
      <c r="C3070" s="8"/>
    </row>
    <row r="3071" spans="1:3" x14ac:dyDescent="0.25">
      <c r="A3071" s="8"/>
      <c r="B3071" s="9"/>
      <c r="C3071" s="8"/>
    </row>
    <row r="3072" spans="1:3" x14ac:dyDescent="0.25">
      <c r="A3072" s="8"/>
      <c r="B3072" s="9"/>
      <c r="C3072" s="8"/>
    </row>
    <row r="3073" spans="1:3" x14ac:dyDescent="0.25">
      <c r="A3073" s="8"/>
      <c r="B3073" s="9"/>
      <c r="C3073" s="8"/>
    </row>
    <row r="3074" spans="1:3" x14ac:dyDescent="0.25">
      <c r="A3074" s="8"/>
      <c r="B3074" s="9"/>
      <c r="C3074" s="8"/>
    </row>
    <row r="3075" spans="1:3" x14ac:dyDescent="0.25">
      <c r="A3075" s="8"/>
      <c r="B3075" s="9"/>
      <c r="C3075" s="8"/>
    </row>
    <row r="3076" spans="1:3" x14ac:dyDescent="0.25">
      <c r="A3076" s="8"/>
      <c r="B3076" s="9"/>
      <c r="C3076" s="8"/>
    </row>
    <row r="3077" spans="1:3" x14ac:dyDescent="0.25">
      <c r="A3077" s="8"/>
      <c r="B3077" s="9"/>
      <c r="C3077" s="8"/>
    </row>
    <row r="3078" spans="1:3" x14ac:dyDescent="0.25">
      <c r="A3078" s="8"/>
      <c r="B3078" s="9"/>
      <c r="C3078" s="8"/>
    </row>
    <row r="3079" spans="1:3" x14ac:dyDescent="0.25">
      <c r="A3079" s="8"/>
      <c r="B3079" s="9"/>
      <c r="C3079" s="8"/>
    </row>
    <row r="3080" spans="1:3" x14ac:dyDescent="0.25">
      <c r="A3080" s="8"/>
      <c r="B3080" s="9"/>
      <c r="C3080" s="8"/>
    </row>
    <row r="3081" spans="1:3" x14ac:dyDescent="0.25">
      <c r="A3081" s="8"/>
      <c r="B3081" s="9"/>
      <c r="C3081" s="8"/>
    </row>
    <row r="3082" spans="1:3" x14ac:dyDescent="0.25">
      <c r="A3082" s="8"/>
      <c r="B3082" s="9"/>
      <c r="C3082" s="8"/>
    </row>
    <row r="3083" spans="1:3" x14ac:dyDescent="0.25">
      <c r="A3083" s="8"/>
      <c r="B3083" s="9"/>
      <c r="C3083" s="8"/>
    </row>
    <row r="3084" spans="1:3" x14ac:dyDescent="0.25">
      <c r="A3084" s="8"/>
      <c r="B3084" s="9"/>
      <c r="C3084" s="8"/>
    </row>
    <row r="3085" spans="1:3" x14ac:dyDescent="0.25">
      <c r="A3085" s="8"/>
      <c r="B3085" s="9"/>
      <c r="C3085" s="8"/>
    </row>
    <row r="3086" spans="1:3" x14ac:dyDescent="0.25">
      <c r="A3086" s="8"/>
      <c r="B3086" s="9"/>
      <c r="C3086" s="8"/>
    </row>
    <row r="3087" spans="1:3" x14ac:dyDescent="0.25">
      <c r="A3087" s="8"/>
      <c r="B3087" s="9"/>
      <c r="C3087" s="8"/>
    </row>
    <row r="3088" spans="1:3" x14ac:dyDescent="0.25">
      <c r="A3088" s="8"/>
      <c r="B3088" s="9"/>
      <c r="C3088" s="8"/>
    </row>
    <row r="3089" spans="1:3" x14ac:dyDescent="0.25">
      <c r="A3089" s="8"/>
      <c r="B3089" s="9"/>
      <c r="C3089" s="8"/>
    </row>
    <row r="3090" spans="1:3" x14ac:dyDescent="0.25">
      <c r="A3090" s="8"/>
      <c r="B3090" s="9"/>
      <c r="C3090" s="8"/>
    </row>
    <row r="3091" spans="1:3" x14ac:dyDescent="0.25">
      <c r="A3091" s="8"/>
      <c r="B3091" s="9"/>
      <c r="C3091" s="8"/>
    </row>
    <row r="3092" spans="1:3" x14ac:dyDescent="0.25">
      <c r="A3092" s="8"/>
      <c r="B3092" s="9"/>
      <c r="C3092" s="8"/>
    </row>
    <row r="3093" spans="1:3" x14ac:dyDescent="0.25">
      <c r="A3093" s="8"/>
      <c r="B3093" s="9"/>
      <c r="C3093" s="8"/>
    </row>
    <row r="3094" spans="1:3" x14ac:dyDescent="0.25">
      <c r="A3094" s="8"/>
      <c r="B3094" s="9"/>
      <c r="C3094" s="8"/>
    </row>
    <row r="3095" spans="1:3" x14ac:dyDescent="0.25">
      <c r="A3095" s="8"/>
      <c r="B3095" s="9"/>
      <c r="C3095" s="8"/>
    </row>
    <row r="3096" spans="1:3" x14ac:dyDescent="0.25">
      <c r="A3096" s="8"/>
      <c r="B3096" s="9"/>
      <c r="C3096" s="8"/>
    </row>
    <row r="3097" spans="1:3" x14ac:dyDescent="0.25">
      <c r="A3097" s="8"/>
      <c r="B3097" s="9"/>
      <c r="C3097" s="8"/>
    </row>
    <row r="3098" spans="1:3" x14ac:dyDescent="0.25">
      <c r="A3098" s="8"/>
      <c r="B3098" s="9"/>
      <c r="C3098" s="8"/>
    </row>
    <row r="3099" spans="1:3" x14ac:dyDescent="0.25">
      <c r="A3099" s="8"/>
      <c r="B3099" s="9"/>
      <c r="C3099" s="8"/>
    </row>
    <row r="3100" spans="1:3" x14ac:dyDescent="0.25">
      <c r="A3100" s="8"/>
      <c r="B3100" s="9"/>
      <c r="C3100" s="8"/>
    </row>
    <row r="3101" spans="1:3" x14ac:dyDescent="0.25">
      <c r="A3101" s="8"/>
      <c r="B3101" s="9"/>
      <c r="C3101" s="8"/>
    </row>
    <row r="3102" spans="1:3" x14ac:dyDescent="0.25">
      <c r="A3102" s="8"/>
      <c r="B3102" s="9"/>
      <c r="C3102" s="8"/>
    </row>
    <row r="3103" spans="1:3" x14ac:dyDescent="0.25">
      <c r="A3103" s="8"/>
      <c r="B3103" s="9"/>
      <c r="C3103" s="8"/>
    </row>
    <row r="3104" spans="1:3" x14ac:dyDescent="0.25">
      <c r="A3104" s="8"/>
      <c r="B3104" s="9"/>
      <c r="C3104" s="8"/>
    </row>
    <row r="3105" spans="1:3" x14ac:dyDescent="0.25">
      <c r="A3105" s="8"/>
      <c r="B3105" s="9"/>
      <c r="C3105" s="8"/>
    </row>
    <row r="3106" spans="1:3" x14ac:dyDescent="0.25">
      <c r="A3106" s="8"/>
      <c r="B3106" s="9"/>
      <c r="C3106" s="8"/>
    </row>
    <row r="3107" spans="1:3" x14ac:dyDescent="0.25">
      <c r="A3107" s="8"/>
      <c r="B3107" s="9"/>
      <c r="C3107" s="8"/>
    </row>
    <row r="3108" spans="1:3" x14ac:dyDescent="0.25">
      <c r="A3108" s="8"/>
      <c r="B3108" s="9"/>
      <c r="C3108" s="8"/>
    </row>
    <row r="3109" spans="1:3" x14ac:dyDescent="0.25">
      <c r="A3109" s="8"/>
      <c r="B3109" s="9"/>
      <c r="C3109" s="8"/>
    </row>
    <row r="3110" spans="1:3" x14ac:dyDescent="0.25">
      <c r="A3110" s="8"/>
      <c r="B3110" s="9"/>
      <c r="C3110" s="8"/>
    </row>
    <row r="3111" spans="1:3" x14ac:dyDescent="0.25">
      <c r="A3111" s="8"/>
      <c r="B3111" s="9"/>
      <c r="C3111" s="8"/>
    </row>
    <row r="3112" spans="1:3" x14ac:dyDescent="0.25">
      <c r="A3112" s="8"/>
      <c r="B3112" s="9"/>
      <c r="C3112" s="8"/>
    </row>
    <row r="3113" spans="1:3" x14ac:dyDescent="0.25">
      <c r="A3113" s="8"/>
      <c r="B3113" s="9"/>
      <c r="C3113" s="8"/>
    </row>
    <row r="3114" spans="1:3" x14ac:dyDescent="0.25">
      <c r="A3114" s="8"/>
      <c r="B3114" s="9"/>
      <c r="C3114" s="8"/>
    </row>
    <row r="3115" spans="1:3" x14ac:dyDescent="0.25">
      <c r="A3115" s="8"/>
      <c r="B3115" s="9"/>
      <c r="C3115" s="8"/>
    </row>
    <row r="3116" spans="1:3" x14ac:dyDescent="0.25">
      <c r="A3116" s="8"/>
      <c r="B3116" s="9"/>
      <c r="C3116" s="8"/>
    </row>
    <row r="3117" spans="1:3" x14ac:dyDescent="0.25">
      <c r="A3117" s="8"/>
      <c r="B3117" s="9"/>
      <c r="C3117" s="8"/>
    </row>
    <row r="3118" spans="1:3" x14ac:dyDescent="0.25">
      <c r="A3118" s="8"/>
      <c r="B3118" s="9"/>
      <c r="C3118" s="8"/>
    </row>
    <row r="3119" spans="1:3" x14ac:dyDescent="0.25">
      <c r="A3119" s="8"/>
      <c r="B3119" s="9"/>
      <c r="C3119" s="8"/>
    </row>
    <row r="3120" spans="1:3" x14ac:dyDescent="0.25">
      <c r="A3120" s="8"/>
      <c r="B3120" s="9"/>
      <c r="C3120" s="8"/>
    </row>
    <row r="3121" spans="1:3" x14ac:dyDescent="0.25">
      <c r="A3121" s="8"/>
      <c r="B3121" s="9"/>
      <c r="C3121" s="8"/>
    </row>
    <row r="3122" spans="1:3" x14ac:dyDescent="0.25">
      <c r="A3122" s="8"/>
      <c r="B3122" s="9"/>
      <c r="C3122" s="8"/>
    </row>
    <row r="3123" spans="1:3" x14ac:dyDescent="0.25">
      <c r="A3123" s="8"/>
      <c r="B3123" s="9"/>
      <c r="C3123" s="8"/>
    </row>
    <row r="3124" spans="1:3" x14ac:dyDescent="0.25">
      <c r="A3124" s="8"/>
      <c r="B3124" s="9"/>
      <c r="C3124" s="8"/>
    </row>
    <row r="3125" spans="1:3" x14ac:dyDescent="0.25">
      <c r="A3125" s="8"/>
      <c r="B3125" s="9"/>
      <c r="C3125" s="8"/>
    </row>
    <row r="3126" spans="1:3" x14ac:dyDescent="0.25">
      <c r="A3126" s="8"/>
      <c r="B3126" s="9"/>
      <c r="C3126" s="8"/>
    </row>
    <row r="3127" spans="1:3" x14ac:dyDescent="0.25">
      <c r="A3127" s="8"/>
      <c r="B3127" s="9"/>
      <c r="C3127" s="8"/>
    </row>
    <row r="3128" spans="1:3" x14ac:dyDescent="0.25">
      <c r="A3128" s="8"/>
      <c r="B3128" s="9"/>
      <c r="C3128" s="8"/>
    </row>
    <row r="3129" spans="1:3" x14ac:dyDescent="0.25">
      <c r="A3129" s="8"/>
      <c r="B3129" s="9"/>
      <c r="C3129" s="8"/>
    </row>
    <row r="3130" spans="1:3" x14ac:dyDescent="0.25">
      <c r="A3130" s="8"/>
      <c r="B3130" s="9"/>
      <c r="C3130" s="8"/>
    </row>
    <row r="3131" spans="1:3" x14ac:dyDescent="0.25">
      <c r="A3131" s="8"/>
      <c r="B3131" s="9"/>
      <c r="C3131" s="8"/>
    </row>
    <row r="3132" spans="1:3" x14ac:dyDescent="0.25">
      <c r="A3132" s="8"/>
      <c r="B3132" s="9"/>
      <c r="C3132" s="8"/>
    </row>
    <row r="3133" spans="1:3" x14ac:dyDescent="0.25">
      <c r="A3133" s="8"/>
      <c r="B3133" s="9"/>
      <c r="C3133" s="8"/>
    </row>
    <row r="3134" spans="1:3" x14ac:dyDescent="0.25">
      <c r="A3134" s="8"/>
      <c r="B3134" s="9"/>
      <c r="C3134" s="8"/>
    </row>
    <row r="3135" spans="1:3" x14ac:dyDescent="0.25">
      <c r="A3135" s="8"/>
      <c r="B3135" s="9"/>
      <c r="C3135" s="8"/>
    </row>
    <row r="3136" spans="1:3" x14ac:dyDescent="0.25">
      <c r="A3136" s="8"/>
      <c r="B3136" s="9"/>
      <c r="C3136" s="8"/>
    </row>
    <row r="3137" spans="1:3" x14ac:dyDescent="0.25">
      <c r="A3137" s="8"/>
      <c r="B3137" s="9"/>
      <c r="C3137" s="8"/>
    </row>
    <row r="3138" spans="1:3" x14ac:dyDescent="0.25">
      <c r="A3138" s="8"/>
      <c r="B3138" s="9"/>
      <c r="C3138" s="8"/>
    </row>
    <row r="3139" spans="1:3" x14ac:dyDescent="0.25">
      <c r="A3139" s="8"/>
      <c r="B3139" s="9"/>
      <c r="C3139" s="8"/>
    </row>
    <row r="3140" spans="1:3" x14ac:dyDescent="0.25">
      <c r="A3140" s="8"/>
      <c r="B3140" s="9"/>
      <c r="C3140" s="8"/>
    </row>
    <row r="3141" spans="1:3" x14ac:dyDescent="0.25">
      <c r="A3141" s="8"/>
      <c r="B3141" s="9"/>
      <c r="C3141" s="8"/>
    </row>
    <row r="3142" spans="1:3" x14ac:dyDescent="0.25">
      <c r="A3142" s="8"/>
      <c r="B3142" s="9"/>
      <c r="C3142" s="8"/>
    </row>
    <row r="3143" spans="1:3" x14ac:dyDescent="0.25">
      <c r="A3143" s="8"/>
      <c r="B3143" s="9"/>
      <c r="C3143" s="8"/>
    </row>
    <row r="3144" spans="1:3" x14ac:dyDescent="0.25">
      <c r="A3144" s="8"/>
      <c r="B3144" s="9"/>
      <c r="C3144" s="8"/>
    </row>
    <row r="3145" spans="1:3" x14ac:dyDescent="0.25">
      <c r="A3145" s="8"/>
      <c r="B3145" s="9"/>
      <c r="C3145" s="8"/>
    </row>
    <row r="3146" spans="1:3" x14ac:dyDescent="0.25">
      <c r="A3146" s="8"/>
      <c r="B3146" s="9"/>
      <c r="C3146" s="8"/>
    </row>
    <row r="3147" spans="1:3" x14ac:dyDescent="0.25">
      <c r="A3147" s="8"/>
      <c r="B3147" s="9"/>
      <c r="C3147" s="8"/>
    </row>
    <row r="3148" spans="1:3" x14ac:dyDescent="0.25">
      <c r="A3148" s="8"/>
      <c r="B3148" s="9"/>
      <c r="C3148" s="8"/>
    </row>
    <row r="3149" spans="1:3" x14ac:dyDescent="0.25">
      <c r="A3149" s="8"/>
      <c r="B3149" s="9"/>
      <c r="C3149" s="8"/>
    </row>
    <row r="3150" spans="1:3" x14ac:dyDescent="0.25">
      <c r="A3150" s="8"/>
      <c r="B3150" s="9"/>
      <c r="C3150" s="8"/>
    </row>
    <row r="3151" spans="1:3" x14ac:dyDescent="0.25">
      <c r="A3151" s="8"/>
      <c r="B3151" s="9"/>
      <c r="C3151" s="8"/>
    </row>
    <row r="3152" spans="1:3" x14ac:dyDescent="0.25">
      <c r="A3152" s="8"/>
      <c r="B3152" s="9"/>
      <c r="C3152" s="8"/>
    </row>
    <row r="3153" spans="1:3" x14ac:dyDescent="0.25">
      <c r="A3153" s="8"/>
      <c r="B3153" s="9"/>
      <c r="C3153" s="8"/>
    </row>
    <row r="3154" spans="1:3" x14ac:dyDescent="0.25">
      <c r="A3154" s="8"/>
      <c r="B3154" s="9"/>
      <c r="C3154" s="8"/>
    </row>
    <row r="3155" spans="1:3" x14ac:dyDescent="0.25">
      <c r="A3155" s="8"/>
      <c r="B3155" s="9"/>
      <c r="C3155" s="8"/>
    </row>
    <row r="3156" spans="1:3" x14ac:dyDescent="0.25">
      <c r="A3156" s="8"/>
      <c r="B3156" s="9"/>
      <c r="C3156" s="8"/>
    </row>
    <row r="3157" spans="1:3" x14ac:dyDescent="0.25">
      <c r="A3157" s="8"/>
      <c r="B3157" s="9"/>
      <c r="C3157" s="8"/>
    </row>
    <row r="3158" spans="1:3" x14ac:dyDescent="0.25">
      <c r="A3158" s="8"/>
      <c r="B3158" s="9"/>
      <c r="C3158" s="8"/>
    </row>
    <row r="3159" spans="1:3" x14ac:dyDescent="0.25">
      <c r="A3159" s="8"/>
      <c r="B3159" s="9"/>
      <c r="C3159" s="8"/>
    </row>
    <row r="3160" spans="1:3" x14ac:dyDescent="0.25">
      <c r="A3160" s="8"/>
      <c r="B3160" s="9"/>
      <c r="C3160" s="8"/>
    </row>
    <row r="3161" spans="1:3" x14ac:dyDescent="0.25">
      <c r="A3161" s="8"/>
      <c r="B3161" s="9"/>
      <c r="C3161" s="8"/>
    </row>
    <row r="3162" spans="1:3" x14ac:dyDescent="0.25">
      <c r="A3162" s="8"/>
      <c r="B3162" s="9"/>
      <c r="C3162" s="8"/>
    </row>
    <row r="3163" spans="1:3" x14ac:dyDescent="0.25">
      <c r="A3163" s="8"/>
      <c r="B3163" s="9"/>
      <c r="C3163" s="8"/>
    </row>
    <row r="3164" spans="1:3" x14ac:dyDescent="0.25">
      <c r="A3164" s="8"/>
      <c r="B3164" s="9"/>
      <c r="C3164" s="8"/>
    </row>
    <row r="3165" spans="1:3" x14ac:dyDescent="0.25">
      <c r="A3165" s="8"/>
      <c r="B3165" s="9"/>
      <c r="C3165" s="8"/>
    </row>
    <row r="3166" spans="1:3" x14ac:dyDescent="0.25">
      <c r="A3166" s="8"/>
      <c r="B3166" s="9"/>
      <c r="C3166" s="8"/>
    </row>
    <row r="3167" spans="1:3" x14ac:dyDescent="0.25">
      <c r="A3167" s="8"/>
      <c r="B3167" s="9"/>
      <c r="C3167" s="8"/>
    </row>
    <row r="3168" spans="1:3" x14ac:dyDescent="0.25">
      <c r="A3168" s="8"/>
      <c r="B3168" s="9"/>
      <c r="C3168" s="8"/>
    </row>
    <row r="3169" spans="1:3" x14ac:dyDescent="0.25">
      <c r="A3169" s="8"/>
      <c r="B3169" s="9"/>
      <c r="C3169" s="8"/>
    </row>
    <row r="3170" spans="1:3" x14ac:dyDescent="0.25">
      <c r="A3170" s="8"/>
      <c r="B3170" s="9"/>
      <c r="C3170" s="8"/>
    </row>
    <row r="3171" spans="1:3" x14ac:dyDescent="0.25">
      <c r="A3171" s="8"/>
      <c r="B3171" s="9"/>
      <c r="C3171" s="8"/>
    </row>
    <row r="3172" spans="1:3" x14ac:dyDescent="0.25">
      <c r="A3172" s="8"/>
      <c r="B3172" s="9"/>
      <c r="C3172" s="8"/>
    </row>
    <row r="3173" spans="1:3" x14ac:dyDescent="0.25">
      <c r="A3173" s="8"/>
      <c r="B3173" s="9"/>
      <c r="C3173" s="8"/>
    </row>
    <row r="3174" spans="1:3" x14ac:dyDescent="0.25">
      <c r="A3174" s="8"/>
      <c r="B3174" s="9"/>
      <c r="C3174" s="8"/>
    </row>
    <row r="3175" spans="1:3" x14ac:dyDescent="0.25">
      <c r="A3175" s="8"/>
      <c r="B3175" s="9"/>
      <c r="C3175" s="8"/>
    </row>
    <row r="3176" spans="1:3" x14ac:dyDescent="0.25">
      <c r="A3176" s="8"/>
      <c r="B3176" s="9"/>
      <c r="C3176" s="8"/>
    </row>
    <row r="3177" spans="1:3" x14ac:dyDescent="0.25">
      <c r="A3177" s="8"/>
      <c r="B3177" s="9"/>
      <c r="C3177" s="8"/>
    </row>
    <row r="3178" spans="1:3" x14ac:dyDescent="0.25">
      <c r="A3178" s="8"/>
      <c r="B3178" s="9"/>
      <c r="C3178" s="8"/>
    </row>
    <row r="3179" spans="1:3" x14ac:dyDescent="0.25">
      <c r="A3179" s="8"/>
      <c r="B3179" s="9"/>
      <c r="C3179" s="8"/>
    </row>
    <row r="3180" spans="1:3" x14ac:dyDescent="0.25">
      <c r="A3180" s="8"/>
      <c r="B3180" s="9"/>
      <c r="C3180" s="8"/>
    </row>
    <row r="3181" spans="1:3" x14ac:dyDescent="0.25">
      <c r="A3181" s="8"/>
      <c r="B3181" s="9"/>
      <c r="C3181" s="8"/>
    </row>
    <row r="3182" spans="1:3" x14ac:dyDescent="0.25">
      <c r="A3182" s="8"/>
      <c r="B3182" s="9"/>
      <c r="C3182" s="8"/>
    </row>
    <row r="3183" spans="1:3" x14ac:dyDescent="0.25">
      <c r="A3183" s="8"/>
      <c r="B3183" s="9"/>
      <c r="C3183" s="8"/>
    </row>
    <row r="3184" spans="1:3" x14ac:dyDescent="0.25">
      <c r="A3184" s="8"/>
      <c r="B3184" s="9"/>
      <c r="C3184" s="8"/>
    </row>
    <row r="3185" spans="1:3" x14ac:dyDescent="0.25">
      <c r="A3185" s="8"/>
      <c r="B3185" s="9"/>
      <c r="C3185" s="8"/>
    </row>
    <row r="3186" spans="1:3" x14ac:dyDescent="0.25">
      <c r="A3186" s="8"/>
      <c r="B3186" s="9"/>
      <c r="C3186" s="8"/>
    </row>
    <row r="3187" spans="1:3" x14ac:dyDescent="0.25">
      <c r="A3187" s="8"/>
      <c r="B3187" s="9"/>
      <c r="C3187" s="8"/>
    </row>
    <row r="3188" spans="1:3" x14ac:dyDescent="0.25">
      <c r="A3188" s="8"/>
      <c r="B3188" s="9"/>
      <c r="C3188" s="8"/>
    </row>
    <row r="3189" spans="1:3" x14ac:dyDescent="0.25">
      <c r="A3189" s="8"/>
      <c r="B3189" s="9"/>
      <c r="C3189" s="8"/>
    </row>
    <row r="3190" spans="1:3" x14ac:dyDescent="0.25">
      <c r="A3190" s="8"/>
      <c r="B3190" s="9"/>
      <c r="C3190" s="8"/>
    </row>
    <row r="3191" spans="1:3" x14ac:dyDescent="0.25">
      <c r="A3191" s="8"/>
      <c r="B3191" s="9"/>
      <c r="C3191" s="8"/>
    </row>
    <row r="3192" spans="1:3" x14ac:dyDescent="0.25">
      <c r="A3192" s="8"/>
      <c r="B3192" s="9"/>
      <c r="C3192" s="8"/>
    </row>
    <row r="3193" spans="1:3" x14ac:dyDescent="0.25">
      <c r="A3193" s="8"/>
      <c r="B3193" s="9"/>
      <c r="C3193" s="8"/>
    </row>
    <row r="3194" spans="1:3" x14ac:dyDescent="0.25">
      <c r="A3194" s="8"/>
      <c r="B3194" s="9"/>
      <c r="C3194" s="8"/>
    </row>
    <row r="3195" spans="1:3" x14ac:dyDescent="0.25">
      <c r="A3195" s="8"/>
      <c r="B3195" s="9"/>
      <c r="C3195" s="8"/>
    </row>
    <row r="3196" spans="1:3" x14ac:dyDescent="0.25">
      <c r="A3196" s="8"/>
      <c r="B3196" s="9"/>
      <c r="C3196" s="8"/>
    </row>
    <row r="3197" spans="1:3" x14ac:dyDescent="0.25">
      <c r="A3197" s="8"/>
      <c r="B3197" s="9"/>
      <c r="C3197" s="8"/>
    </row>
    <row r="3198" spans="1:3" x14ac:dyDescent="0.25">
      <c r="A3198" s="8"/>
      <c r="B3198" s="9"/>
      <c r="C3198" s="8"/>
    </row>
    <row r="3199" spans="1:3" x14ac:dyDescent="0.25">
      <c r="A3199" s="8"/>
      <c r="B3199" s="9"/>
      <c r="C3199" s="8"/>
    </row>
    <row r="3200" spans="1:3" x14ac:dyDescent="0.25">
      <c r="A3200" s="8"/>
      <c r="B3200" s="9"/>
      <c r="C3200" s="8"/>
    </row>
    <row r="3201" spans="1:3" x14ac:dyDescent="0.25">
      <c r="A3201" s="8"/>
      <c r="B3201" s="9"/>
      <c r="C3201" s="8"/>
    </row>
    <row r="3202" spans="1:3" x14ac:dyDescent="0.25">
      <c r="A3202" s="8"/>
      <c r="B3202" s="9"/>
      <c r="C3202" s="8"/>
    </row>
    <row r="3203" spans="1:3" x14ac:dyDescent="0.25">
      <c r="A3203" s="8"/>
      <c r="B3203" s="9"/>
      <c r="C3203" s="8"/>
    </row>
    <row r="3204" spans="1:3" x14ac:dyDescent="0.25">
      <c r="A3204" s="8"/>
      <c r="B3204" s="9"/>
      <c r="C3204" s="8"/>
    </row>
    <row r="3205" spans="1:3" x14ac:dyDescent="0.25">
      <c r="A3205" s="8"/>
      <c r="B3205" s="9"/>
      <c r="C3205" s="8"/>
    </row>
    <row r="3206" spans="1:3" x14ac:dyDescent="0.25">
      <c r="A3206" s="8"/>
      <c r="B3206" s="9"/>
      <c r="C3206" s="8"/>
    </row>
    <row r="3207" spans="1:3" x14ac:dyDescent="0.25">
      <c r="A3207" s="8"/>
      <c r="B3207" s="9"/>
      <c r="C3207" s="8"/>
    </row>
    <row r="3208" spans="1:3" x14ac:dyDescent="0.25">
      <c r="A3208" s="8"/>
      <c r="B3208" s="9"/>
      <c r="C3208" s="8"/>
    </row>
    <row r="3209" spans="1:3" x14ac:dyDescent="0.25">
      <c r="A3209" s="8"/>
      <c r="B3209" s="9"/>
      <c r="C3209" s="8"/>
    </row>
    <row r="3210" spans="1:3" x14ac:dyDescent="0.25">
      <c r="A3210" s="8"/>
      <c r="B3210" s="9"/>
      <c r="C3210" s="8"/>
    </row>
    <row r="3211" spans="1:3" x14ac:dyDescent="0.25">
      <c r="A3211" s="8"/>
      <c r="B3211" s="9"/>
      <c r="C3211" s="8"/>
    </row>
    <row r="3212" spans="1:3" x14ac:dyDescent="0.25">
      <c r="A3212" s="8"/>
      <c r="B3212" s="9"/>
      <c r="C3212" s="8"/>
    </row>
    <row r="3213" spans="1:3" x14ac:dyDescent="0.25">
      <c r="A3213" s="8"/>
      <c r="B3213" s="9"/>
      <c r="C3213" s="8"/>
    </row>
    <row r="3214" spans="1:3" x14ac:dyDescent="0.25">
      <c r="A3214" s="8"/>
      <c r="B3214" s="9"/>
      <c r="C3214" s="8"/>
    </row>
    <row r="3215" spans="1:3" x14ac:dyDescent="0.25">
      <c r="A3215" s="8"/>
      <c r="B3215" s="9"/>
      <c r="C3215" s="8"/>
    </row>
    <row r="3216" spans="1:3" x14ac:dyDescent="0.25">
      <c r="A3216" s="8"/>
      <c r="B3216" s="9"/>
      <c r="C3216" s="8"/>
    </row>
    <row r="3217" spans="1:3" x14ac:dyDescent="0.25">
      <c r="A3217" s="8"/>
      <c r="B3217" s="9"/>
      <c r="C3217" s="8"/>
    </row>
    <row r="3218" spans="1:3" x14ac:dyDescent="0.25">
      <c r="A3218" s="8"/>
      <c r="B3218" s="9"/>
      <c r="C3218" s="8"/>
    </row>
    <row r="3219" spans="1:3" x14ac:dyDescent="0.25">
      <c r="A3219" s="8"/>
      <c r="B3219" s="9"/>
      <c r="C3219" s="8"/>
    </row>
    <row r="3220" spans="1:3" x14ac:dyDescent="0.25">
      <c r="A3220" s="8"/>
      <c r="B3220" s="9"/>
      <c r="C3220" s="8"/>
    </row>
    <row r="3221" spans="1:3" x14ac:dyDescent="0.25">
      <c r="A3221" s="8"/>
      <c r="B3221" s="9"/>
      <c r="C3221" s="8"/>
    </row>
    <row r="3222" spans="1:3" x14ac:dyDescent="0.25">
      <c r="A3222" s="8"/>
      <c r="B3222" s="9"/>
      <c r="C3222" s="8"/>
    </row>
    <row r="3223" spans="1:3" x14ac:dyDescent="0.25">
      <c r="A3223" s="8"/>
      <c r="B3223" s="9"/>
      <c r="C3223" s="8"/>
    </row>
    <row r="3224" spans="1:3" x14ac:dyDescent="0.25">
      <c r="A3224" s="8"/>
      <c r="B3224" s="9"/>
      <c r="C3224" s="8"/>
    </row>
    <row r="3225" spans="1:3" x14ac:dyDescent="0.25">
      <c r="A3225" s="8"/>
      <c r="B3225" s="9"/>
      <c r="C3225" s="8"/>
    </row>
    <row r="3226" spans="1:3" x14ac:dyDescent="0.25">
      <c r="A3226" s="8"/>
      <c r="B3226" s="9"/>
      <c r="C3226" s="8"/>
    </row>
    <row r="3227" spans="1:3" x14ac:dyDescent="0.25">
      <c r="A3227" s="8"/>
      <c r="B3227" s="9"/>
      <c r="C3227" s="8"/>
    </row>
    <row r="3228" spans="1:3" x14ac:dyDescent="0.25">
      <c r="A3228" s="8"/>
      <c r="B3228" s="9"/>
      <c r="C3228" s="8"/>
    </row>
    <row r="3229" spans="1:3" x14ac:dyDescent="0.25">
      <c r="A3229" s="8"/>
      <c r="B3229" s="9"/>
      <c r="C3229" s="8"/>
    </row>
    <row r="3230" spans="1:3" x14ac:dyDescent="0.25">
      <c r="A3230" s="8"/>
      <c r="B3230" s="9"/>
      <c r="C3230" s="8"/>
    </row>
    <row r="3231" spans="1:3" x14ac:dyDescent="0.25">
      <c r="A3231" s="8"/>
      <c r="B3231" s="9"/>
      <c r="C3231" s="8"/>
    </row>
    <row r="3232" spans="1:3" x14ac:dyDescent="0.25">
      <c r="A3232" s="8"/>
      <c r="B3232" s="9"/>
      <c r="C3232" s="8"/>
    </row>
    <row r="3233" spans="1:3" x14ac:dyDescent="0.25">
      <c r="A3233" s="8"/>
      <c r="B3233" s="9"/>
      <c r="C3233" s="8"/>
    </row>
    <row r="3234" spans="1:3" x14ac:dyDescent="0.25">
      <c r="A3234" s="8"/>
      <c r="B3234" s="9"/>
      <c r="C3234" s="8"/>
    </row>
    <row r="3235" spans="1:3" x14ac:dyDescent="0.25">
      <c r="A3235" s="8"/>
      <c r="B3235" s="9"/>
      <c r="C3235" s="8"/>
    </row>
    <row r="3236" spans="1:3" x14ac:dyDescent="0.25">
      <c r="A3236" s="8"/>
      <c r="B3236" s="9"/>
      <c r="C3236" s="8"/>
    </row>
    <row r="3237" spans="1:3" x14ac:dyDescent="0.25">
      <c r="A3237" s="8"/>
      <c r="B3237" s="9"/>
      <c r="C3237" s="8"/>
    </row>
    <row r="3238" spans="1:3" x14ac:dyDescent="0.25">
      <c r="A3238" s="8"/>
      <c r="B3238" s="9"/>
      <c r="C3238" s="8"/>
    </row>
    <row r="3239" spans="1:3" x14ac:dyDescent="0.25">
      <c r="A3239" s="8"/>
      <c r="B3239" s="9"/>
      <c r="C3239" s="8"/>
    </row>
    <row r="3240" spans="1:3" x14ac:dyDescent="0.25">
      <c r="A3240" s="8"/>
      <c r="B3240" s="9"/>
      <c r="C3240" s="8"/>
    </row>
    <row r="3241" spans="1:3" x14ac:dyDescent="0.25">
      <c r="A3241" s="8"/>
      <c r="B3241" s="9"/>
      <c r="C3241" s="8"/>
    </row>
    <row r="3242" spans="1:3" x14ac:dyDescent="0.25">
      <c r="A3242" s="8"/>
      <c r="B3242" s="9"/>
      <c r="C3242" s="8"/>
    </row>
    <row r="3243" spans="1:3" x14ac:dyDescent="0.25">
      <c r="A3243" s="8"/>
      <c r="B3243" s="9"/>
      <c r="C3243" s="8"/>
    </row>
    <row r="3244" spans="1:3" x14ac:dyDescent="0.25">
      <c r="A3244" s="8"/>
      <c r="B3244" s="9"/>
      <c r="C3244" s="8"/>
    </row>
    <row r="3245" spans="1:3" x14ac:dyDescent="0.25">
      <c r="A3245" s="8"/>
      <c r="B3245" s="9"/>
      <c r="C3245" s="8"/>
    </row>
    <row r="3246" spans="1:3" x14ac:dyDescent="0.25">
      <c r="A3246" s="8"/>
      <c r="B3246" s="9"/>
      <c r="C3246" s="8"/>
    </row>
    <row r="3247" spans="1:3" x14ac:dyDescent="0.25">
      <c r="A3247" s="8"/>
      <c r="B3247" s="9"/>
      <c r="C3247" s="8"/>
    </row>
    <row r="3248" spans="1:3" x14ac:dyDescent="0.25">
      <c r="A3248" s="8"/>
      <c r="B3248" s="9"/>
      <c r="C3248" s="8"/>
    </row>
    <row r="3249" spans="1:3" x14ac:dyDescent="0.25">
      <c r="A3249" s="8"/>
      <c r="B3249" s="9"/>
      <c r="C3249" s="8"/>
    </row>
    <row r="3250" spans="1:3" x14ac:dyDescent="0.25">
      <c r="A3250" s="8"/>
      <c r="B3250" s="9"/>
      <c r="C3250" s="8"/>
    </row>
    <row r="3251" spans="1:3" x14ac:dyDescent="0.25">
      <c r="A3251" s="8"/>
      <c r="B3251" s="9"/>
      <c r="C3251" s="8"/>
    </row>
    <row r="3252" spans="1:3" x14ac:dyDescent="0.25">
      <c r="A3252" s="8"/>
      <c r="B3252" s="9"/>
      <c r="C3252" s="8"/>
    </row>
    <row r="3253" spans="1:3" x14ac:dyDescent="0.25">
      <c r="A3253" s="8"/>
      <c r="B3253" s="9"/>
      <c r="C3253" s="8"/>
    </row>
    <row r="3254" spans="1:3" x14ac:dyDescent="0.25">
      <c r="A3254" s="8"/>
      <c r="B3254" s="9"/>
      <c r="C3254" s="8"/>
    </row>
    <row r="3255" spans="1:3" x14ac:dyDescent="0.25">
      <c r="A3255" s="8"/>
      <c r="B3255" s="9"/>
      <c r="C3255" s="8"/>
    </row>
    <row r="3256" spans="1:3" x14ac:dyDescent="0.25">
      <c r="A3256" s="8"/>
      <c r="B3256" s="9"/>
      <c r="C3256" s="8"/>
    </row>
    <row r="3257" spans="1:3" x14ac:dyDescent="0.25">
      <c r="A3257" s="8"/>
      <c r="B3257" s="9"/>
      <c r="C3257" s="8"/>
    </row>
    <row r="3258" spans="1:3" x14ac:dyDescent="0.25">
      <c r="A3258" s="8"/>
      <c r="B3258" s="9"/>
      <c r="C3258" s="8"/>
    </row>
    <row r="3259" spans="1:3" x14ac:dyDescent="0.25">
      <c r="A3259" s="8"/>
      <c r="B3259" s="9"/>
      <c r="C3259" s="8"/>
    </row>
    <row r="3260" spans="1:3" x14ac:dyDescent="0.25">
      <c r="A3260" s="8"/>
      <c r="B3260" s="9"/>
      <c r="C3260" s="8"/>
    </row>
    <row r="3261" spans="1:3" x14ac:dyDescent="0.25">
      <c r="A3261" s="8"/>
      <c r="B3261" s="9"/>
      <c r="C3261" s="8"/>
    </row>
    <row r="3262" spans="1:3" x14ac:dyDescent="0.25">
      <c r="A3262" s="8"/>
      <c r="B3262" s="9"/>
      <c r="C3262" s="8"/>
    </row>
    <row r="3263" spans="1:3" x14ac:dyDescent="0.25">
      <c r="A3263" s="8"/>
      <c r="B3263" s="9"/>
      <c r="C3263" s="8"/>
    </row>
    <row r="3264" spans="1:3" x14ac:dyDescent="0.25">
      <c r="A3264" s="8"/>
      <c r="B3264" s="9"/>
      <c r="C3264" s="8"/>
    </row>
    <row r="3265" spans="1:3" x14ac:dyDescent="0.25">
      <c r="A3265" s="8"/>
      <c r="B3265" s="9"/>
      <c r="C3265" s="8"/>
    </row>
    <row r="3266" spans="1:3" x14ac:dyDescent="0.25">
      <c r="A3266" s="8"/>
      <c r="B3266" s="9"/>
      <c r="C3266" s="8"/>
    </row>
    <row r="3267" spans="1:3" x14ac:dyDescent="0.25">
      <c r="A3267" s="8"/>
      <c r="B3267" s="9"/>
      <c r="C3267" s="8"/>
    </row>
    <row r="3268" spans="1:3" x14ac:dyDescent="0.25">
      <c r="A3268" s="8"/>
      <c r="B3268" s="9"/>
      <c r="C3268" s="8"/>
    </row>
    <row r="3269" spans="1:3" x14ac:dyDescent="0.25">
      <c r="A3269" s="8"/>
      <c r="B3269" s="9"/>
      <c r="C3269" s="8"/>
    </row>
    <row r="3270" spans="1:3" x14ac:dyDescent="0.25">
      <c r="A3270" s="8"/>
      <c r="B3270" s="9"/>
      <c r="C3270" s="8"/>
    </row>
    <row r="3271" spans="1:3" x14ac:dyDescent="0.25">
      <c r="A3271" s="8"/>
      <c r="B3271" s="9"/>
      <c r="C3271" s="8"/>
    </row>
    <row r="3272" spans="1:3" x14ac:dyDescent="0.25">
      <c r="A3272" s="8"/>
      <c r="B3272" s="9"/>
      <c r="C3272" s="8"/>
    </row>
    <row r="3273" spans="1:3" x14ac:dyDescent="0.25">
      <c r="A3273" s="8"/>
      <c r="B3273" s="9"/>
      <c r="C3273" s="8"/>
    </row>
    <row r="3274" spans="1:3" x14ac:dyDescent="0.25">
      <c r="A3274" s="8"/>
      <c r="B3274" s="9"/>
      <c r="C3274" s="8"/>
    </row>
    <row r="3275" spans="1:3" x14ac:dyDescent="0.25">
      <c r="A3275" s="8"/>
      <c r="B3275" s="9"/>
      <c r="C3275" s="8"/>
    </row>
    <row r="3276" spans="1:3" x14ac:dyDescent="0.25">
      <c r="A3276" s="8"/>
      <c r="B3276" s="9"/>
      <c r="C3276" s="8"/>
    </row>
    <row r="3277" spans="1:3" x14ac:dyDescent="0.25">
      <c r="A3277" s="8"/>
      <c r="B3277" s="9"/>
      <c r="C3277" s="8"/>
    </row>
    <row r="3278" spans="1:3" x14ac:dyDescent="0.25">
      <c r="A3278" s="8"/>
      <c r="B3278" s="9"/>
      <c r="C3278" s="8"/>
    </row>
    <row r="3279" spans="1:3" x14ac:dyDescent="0.25">
      <c r="A3279" s="8"/>
      <c r="B3279" s="9"/>
      <c r="C3279" s="8"/>
    </row>
    <row r="3280" spans="1:3" x14ac:dyDescent="0.25">
      <c r="A3280" s="8"/>
      <c r="B3280" s="9"/>
      <c r="C3280" s="8"/>
    </row>
    <row r="3281" spans="1:3" x14ac:dyDescent="0.25">
      <c r="A3281" s="8"/>
      <c r="B3281" s="9"/>
      <c r="C3281" s="8"/>
    </row>
    <row r="3282" spans="1:3" x14ac:dyDescent="0.25">
      <c r="A3282" s="8"/>
      <c r="B3282" s="9"/>
      <c r="C3282" s="8"/>
    </row>
    <row r="3283" spans="1:3" x14ac:dyDescent="0.25">
      <c r="A3283" s="8"/>
      <c r="B3283" s="9"/>
      <c r="C3283" s="8"/>
    </row>
    <row r="3284" spans="1:3" x14ac:dyDescent="0.25">
      <c r="A3284" s="8"/>
      <c r="B3284" s="9"/>
      <c r="C3284" s="8"/>
    </row>
    <row r="3285" spans="1:3" x14ac:dyDescent="0.25">
      <c r="A3285" s="8"/>
      <c r="B3285" s="9"/>
      <c r="C3285" s="8"/>
    </row>
    <row r="3286" spans="1:3" x14ac:dyDescent="0.25">
      <c r="A3286" s="8"/>
      <c r="B3286" s="9"/>
      <c r="C3286" s="8"/>
    </row>
    <row r="3287" spans="1:3" x14ac:dyDescent="0.25">
      <c r="A3287" s="8"/>
      <c r="B3287" s="9"/>
      <c r="C3287" s="8"/>
    </row>
    <row r="3288" spans="1:3" x14ac:dyDescent="0.25">
      <c r="A3288" s="8"/>
      <c r="B3288" s="9"/>
      <c r="C3288" s="8"/>
    </row>
    <row r="3289" spans="1:3" x14ac:dyDescent="0.25">
      <c r="A3289" s="8"/>
      <c r="B3289" s="9"/>
      <c r="C3289" s="8"/>
    </row>
    <row r="3290" spans="1:3" x14ac:dyDescent="0.25">
      <c r="A3290" s="8"/>
      <c r="B3290" s="9"/>
      <c r="C3290" s="8"/>
    </row>
    <row r="3291" spans="1:3" x14ac:dyDescent="0.25">
      <c r="A3291" s="8"/>
      <c r="B3291" s="9"/>
      <c r="C3291" s="8"/>
    </row>
    <row r="3292" spans="1:3" x14ac:dyDescent="0.25">
      <c r="A3292" s="8"/>
      <c r="B3292" s="9"/>
      <c r="C3292" s="8"/>
    </row>
    <row r="3293" spans="1:3" x14ac:dyDescent="0.25">
      <c r="A3293" s="8"/>
      <c r="B3293" s="9"/>
      <c r="C3293" s="8"/>
    </row>
    <row r="3294" spans="1:3" x14ac:dyDescent="0.25">
      <c r="A3294" s="8"/>
      <c r="B3294" s="9"/>
      <c r="C3294" s="8"/>
    </row>
    <row r="3295" spans="1:3" x14ac:dyDescent="0.25">
      <c r="A3295" s="8"/>
      <c r="B3295" s="9"/>
      <c r="C3295" s="8"/>
    </row>
    <row r="3296" spans="1:3" x14ac:dyDescent="0.25">
      <c r="A3296" s="8"/>
      <c r="B3296" s="9"/>
      <c r="C3296" s="8"/>
    </row>
    <row r="3297" spans="1:3" x14ac:dyDescent="0.25">
      <c r="A3297" s="8"/>
      <c r="B3297" s="9"/>
      <c r="C3297" s="8"/>
    </row>
    <row r="3298" spans="1:3" x14ac:dyDescent="0.25">
      <c r="A3298" s="8"/>
      <c r="B3298" s="9"/>
      <c r="C3298" s="8"/>
    </row>
    <row r="3299" spans="1:3" x14ac:dyDescent="0.25">
      <c r="A3299" s="8"/>
      <c r="B3299" s="9"/>
      <c r="C3299" s="8"/>
    </row>
    <row r="3300" spans="1:3" x14ac:dyDescent="0.25">
      <c r="A3300" s="8"/>
      <c r="B3300" s="9"/>
      <c r="C3300" s="8"/>
    </row>
    <row r="3301" spans="1:3" x14ac:dyDescent="0.25">
      <c r="A3301" s="8"/>
      <c r="B3301" s="9"/>
      <c r="C3301" s="8"/>
    </row>
    <row r="3302" spans="1:3" x14ac:dyDescent="0.25">
      <c r="A3302" s="8"/>
      <c r="B3302" s="9"/>
      <c r="C3302" s="8"/>
    </row>
    <row r="3303" spans="1:3" x14ac:dyDescent="0.25">
      <c r="A3303" s="8"/>
      <c r="B3303" s="9"/>
      <c r="C3303" s="8"/>
    </row>
    <row r="3304" spans="1:3" x14ac:dyDescent="0.25">
      <c r="A3304" s="8"/>
      <c r="B3304" s="9"/>
      <c r="C3304" s="8"/>
    </row>
    <row r="3305" spans="1:3" x14ac:dyDescent="0.25">
      <c r="A3305" s="8"/>
      <c r="B3305" s="9"/>
      <c r="C3305" s="8"/>
    </row>
    <row r="3306" spans="1:3" x14ac:dyDescent="0.25">
      <c r="A3306" s="8"/>
      <c r="B3306" s="9"/>
      <c r="C3306" s="8"/>
    </row>
    <row r="3307" spans="1:3" x14ac:dyDescent="0.25">
      <c r="A3307" s="8"/>
      <c r="B3307" s="9"/>
      <c r="C3307" s="8"/>
    </row>
    <row r="3308" spans="1:3" x14ac:dyDescent="0.25">
      <c r="A3308" s="8"/>
      <c r="B3308" s="9"/>
      <c r="C3308" s="8"/>
    </row>
    <row r="3309" spans="1:3" x14ac:dyDescent="0.25">
      <c r="A3309" s="8"/>
      <c r="B3309" s="9"/>
      <c r="C3309" s="8"/>
    </row>
    <row r="3310" spans="1:3" x14ac:dyDescent="0.25">
      <c r="A3310" s="8"/>
      <c r="B3310" s="9"/>
      <c r="C3310" s="8"/>
    </row>
    <row r="3311" spans="1:3" x14ac:dyDescent="0.25">
      <c r="A3311" s="8"/>
      <c r="B3311" s="9"/>
      <c r="C3311" s="8"/>
    </row>
    <row r="3312" spans="1:3" x14ac:dyDescent="0.25">
      <c r="A3312" s="8"/>
      <c r="B3312" s="9"/>
      <c r="C3312" s="8"/>
    </row>
    <row r="3313" spans="1:3" x14ac:dyDescent="0.25">
      <c r="A3313" s="8"/>
      <c r="B3313" s="9"/>
      <c r="C3313" s="8"/>
    </row>
    <row r="3314" spans="1:3" x14ac:dyDescent="0.25">
      <c r="A3314" s="8"/>
      <c r="B3314" s="9"/>
      <c r="C3314" s="8"/>
    </row>
    <row r="3315" spans="1:3" x14ac:dyDescent="0.25">
      <c r="A3315" s="8"/>
      <c r="B3315" s="9"/>
      <c r="C3315" s="8"/>
    </row>
    <row r="3316" spans="1:3" x14ac:dyDescent="0.25">
      <c r="A3316" s="8"/>
      <c r="B3316" s="9"/>
      <c r="C3316" s="8"/>
    </row>
    <row r="3317" spans="1:3" x14ac:dyDescent="0.25">
      <c r="A3317" s="8"/>
      <c r="B3317" s="9"/>
      <c r="C3317" s="8"/>
    </row>
    <row r="3318" spans="1:3" x14ac:dyDescent="0.25">
      <c r="A3318" s="8"/>
      <c r="B3318" s="9"/>
      <c r="C3318" s="8"/>
    </row>
    <row r="3319" spans="1:3" x14ac:dyDescent="0.25">
      <c r="A3319" s="8"/>
      <c r="B3319" s="9"/>
      <c r="C3319" s="8"/>
    </row>
    <row r="3320" spans="1:3" x14ac:dyDescent="0.25">
      <c r="A3320" s="8"/>
      <c r="B3320" s="9"/>
      <c r="C3320" s="8"/>
    </row>
    <row r="3321" spans="1:3" x14ac:dyDescent="0.25">
      <c r="A3321" s="8"/>
      <c r="B3321" s="9"/>
      <c r="C3321" s="8"/>
    </row>
    <row r="3322" spans="1:3" x14ac:dyDescent="0.25">
      <c r="A3322" s="8"/>
      <c r="B3322" s="9"/>
      <c r="C3322" s="8"/>
    </row>
    <row r="3323" spans="1:3" x14ac:dyDescent="0.25">
      <c r="A3323" s="8"/>
      <c r="B3323" s="9"/>
      <c r="C3323" s="8"/>
    </row>
    <row r="3324" spans="1:3" x14ac:dyDescent="0.25">
      <c r="A3324" s="8"/>
      <c r="B3324" s="9"/>
      <c r="C3324" s="8"/>
    </row>
    <row r="3325" spans="1:3" x14ac:dyDescent="0.25">
      <c r="A3325" s="8"/>
      <c r="B3325" s="9"/>
      <c r="C3325" s="8"/>
    </row>
    <row r="3326" spans="1:3" x14ac:dyDescent="0.25">
      <c r="A3326" s="8"/>
      <c r="B3326" s="9"/>
      <c r="C3326" s="8"/>
    </row>
    <row r="3327" spans="1:3" x14ac:dyDescent="0.25">
      <c r="A3327" s="8"/>
      <c r="B3327" s="9"/>
      <c r="C3327" s="8"/>
    </row>
    <row r="3328" spans="1:3" x14ac:dyDescent="0.25">
      <c r="A3328" s="8"/>
      <c r="B3328" s="9"/>
      <c r="C3328" s="8"/>
    </row>
    <row r="3329" spans="1:3" x14ac:dyDescent="0.25">
      <c r="A3329" s="8"/>
      <c r="B3329" s="9"/>
      <c r="C3329" s="8"/>
    </row>
    <row r="3330" spans="1:3" x14ac:dyDescent="0.25">
      <c r="A3330" s="8"/>
      <c r="B3330" s="9"/>
      <c r="C3330" s="8"/>
    </row>
    <row r="3331" spans="1:3" x14ac:dyDescent="0.25">
      <c r="A3331" s="8"/>
      <c r="B3331" s="9"/>
      <c r="C3331" s="8"/>
    </row>
    <row r="3332" spans="1:3" x14ac:dyDescent="0.25">
      <c r="A3332" s="8"/>
      <c r="B3332" s="9"/>
      <c r="C3332" s="8"/>
    </row>
    <row r="3333" spans="1:3" x14ac:dyDescent="0.25">
      <c r="A3333" s="8"/>
      <c r="B3333" s="9"/>
      <c r="C3333" s="8"/>
    </row>
    <row r="3334" spans="1:3" x14ac:dyDescent="0.25">
      <c r="A3334" s="8"/>
      <c r="B3334" s="9"/>
      <c r="C3334" s="8"/>
    </row>
    <row r="3335" spans="1:3" x14ac:dyDescent="0.25">
      <c r="A3335" s="8"/>
      <c r="B3335" s="9"/>
      <c r="C3335" s="8"/>
    </row>
    <row r="3336" spans="1:3" x14ac:dyDescent="0.25">
      <c r="A3336" s="8"/>
      <c r="B3336" s="9"/>
      <c r="C3336" s="8"/>
    </row>
    <row r="3337" spans="1:3" x14ac:dyDescent="0.25">
      <c r="A3337" s="8"/>
      <c r="B3337" s="9"/>
      <c r="C3337" s="8"/>
    </row>
    <row r="3338" spans="1:3" x14ac:dyDescent="0.25">
      <c r="A3338" s="8"/>
      <c r="B3338" s="9"/>
      <c r="C3338" s="8"/>
    </row>
    <row r="3339" spans="1:3" x14ac:dyDescent="0.25">
      <c r="A3339" s="8"/>
      <c r="B3339" s="9"/>
      <c r="C3339" s="8"/>
    </row>
    <row r="3340" spans="1:3" x14ac:dyDescent="0.25">
      <c r="A3340" s="8"/>
      <c r="B3340" s="9"/>
      <c r="C3340" s="8"/>
    </row>
    <row r="3341" spans="1:3" x14ac:dyDescent="0.25">
      <c r="A3341" s="8"/>
      <c r="B3341" s="9"/>
      <c r="C3341" s="8"/>
    </row>
    <row r="3342" spans="1:3" x14ac:dyDescent="0.25">
      <c r="A3342" s="8"/>
      <c r="B3342" s="9"/>
      <c r="C3342" s="8"/>
    </row>
    <row r="3343" spans="1:3" x14ac:dyDescent="0.25">
      <c r="A3343" s="8"/>
      <c r="B3343" s="9"/>
      <c r="C3343" s="8"/>
    </row>
    <row r="3344" spans="1:3" x14ac:dyDescent="0.25">
      <c r="A3344" s="8"/>
      <c r="B3344" s="9"/>
      <c r="C3344" s="8"/>
    </row>
    <row r="3345" spans="1:3" x14ac:dyDescent="0.25">
      <c r="A3345" s="8"/>
      <c r="B3345" s="9"/>
      <c r="C3345" s="8"/>
    </row>
    <row r="3346" spans="1:3" x14ac:dyDescent="0.25">
      <c r="A3346" s="8"/>
      <c r="B3346" s="9"/>
      <c r="C3346" s="8"/>
    </row>
    <row r="3347" spans="1:3" x14ac:dyDescent="0.25">
      <c r="A3347" s="8"/>
      <c r="B3347" s="9"/>
      <c r="C3347" s="8"/>
    </row>
    <row r="3348" spans="1:3" x14ac:dyDescent="0.25">
      <c r="A3348" s="8"/>
      <c r="B3348" s="9"/>
      <c r="C3348" s="8"/>
    </row>
    <row r="3349" spans="1:3" x14ac:dyDescent="0.25">
      <c r="A3349" s="8"/>
      <c r="B3349" s="9"/>
      <c r="C3349" s="8"/>
    </row>
    <row r="3350" spans="1:3" x14ac:dyDescent="0.25">
      <c r="A3350" s="8"/>
      <c r="B3350" s="9"/>
      <c r="C3350" s="8"/>
    </row>
    <row r="3351" spans="1:3" x14ac:dyDescent="0.25">
      <c r="A3351" s="8"/>
      <c r="B3351" s="9"/>
      <c r="C3351" s="8"/>
    </row>
    <row r="3352" spans="1:3" x14ac:dyDescent="0.25">
      <c r="A3352" s="8"/>
      <c r="B3352" s="9"/>
      <c r="C3352" s="8"/>
    </row>
    <row r="3353" spans="1:3" x14ac:dyDescent="0.25">
      <c r="A3353" s="8"/>
      <c r="B3353" s="9"/>
      <c r="C3353" s="8"/>
    </row>
    <row r="3354" spans="1:3" x14ac:dyDescent="0.25">
      <c r="A3354" s="8"/>
      <c r="B3354" s="9"/>
      <c r="C3354" s="8"/>
    </row>
    <row r="3355" spans="1:3" x14ac:dyDescent="0.25">
      <c r="A3355" s="8"/>
      <c r="B3355" s="9"/>
      <c r="C3355" s="8"/>
    </row>
    <row r="3356" spans="1:3" x14ac:dyDescent="0.25">
      <c r="A3356" s="8"/>
      <c r="B3356" s="9"/>
      <c r="C3356" s="8"/>
    </row>
    <row r="3357" spans="1:3" x14ac:dyDescent="0.25">
      <c r="A3357" s="8"/>
      <c r="B3357" s="9"/>
      <c r="C3357" s="8"/>
    </row>
    <row r="3358" spans="1:3" x14ac:dyDescent="0.25">
      <c r="A3358" s="8"/>
      <c r="B3358" s="9"/>
      <c r="C3358" s="8"/>
    </row>
    <row r="3359" spans="1:3" x14ac:dyDescent="0.25">
      <c r="A3359" s="8"/>
      <c r="B3359" s="9"/>
      <c r="C3359" s="8"/>
    </row>
    <row r="3360" spans="1:3" x14ac:dyDescent="0.25">
      <c r="A3360" s="8"/>
      <c r="B3360" s="9"/>
      <c r="C3360" s="8"/>
    </row>
    <row r="3361" spans="1:3" x14ac:dyDescent="0.25">
      <c r="A3361" s="8"/>
      <c r="B3361" s="9"/>
      <c r="C3361" s="8"/>
    </row>
    <row r="3362" spans="1:3" x14ac:dyDescent="0.25">
      <c r="A3362" s="8"/>
      <c r="B3362" s="9"/>
      <c r="C3362" s="8"/>
    </row>
    <row r="3363" spans="1:3" x14ac:dyDescent="0.25">
      <c r="A3363" s="8"/>
      <c r="B3363" s="9"/>
      <c r="C3363" s="8"/>
    </row>
    <row r="3364" spans="1:3" x14ac:dyDescent="0.25">
      <c r="A3364" s="8"/>
      <c r="B3364" s="9"/>
      <c r="C3364" s="8"/>
    </row>
    <row r="3365" spans="1:3" x14ac:dyDescent="0.25">
      <c r="A3365" s="8"/>
      <c r="B3365" s="9"/>
      <c r="C3365" s="8"/>
    </row>
    <row r="3366" spans="1:3" x14ac:dyDescent="0.25">
      <c r="A3366" s="8"/>
      <c r="B3366" s="9"/>
      <c r="C3366" s="8"/>
    </row>
    <row r="3367" spans="1:3" x14ac:dyDescent="0.25">
      <c r="A3367" s="8"/>
      <c r="B3367" s="9"/>
      <c r="C3367" s="8"/>
    </row>
    <row r="3368" spans="1:3" x14ac:dyDescent="0.25">
      <c r="A3368" s="8"/>
      <c r="B3368" s="9"/>
      <c r="C3368" s="8"/>
    </row>
    <row r="3369" spans="1:3" x14ac:dyDescent="0.25">
      <c r="A3369" s="8"/>
      <c r="B3369" s="9"/>
      <c r="C3369" s="8"/>
    </row>
    <row r="3370" spans="1:3" x14ac:dyDescent="0.25">
      <c r="A3370" s="8"/>
      <c r="B3370" s="9"/>
      <c r="C3370" s="8"/>
    </row>
    <row r="3371" spans="1:3" x14ac:dyDescent="0.25">
      <c r="A3371" s="8"/>
      <c r="B3371" s="9"/>
      <c r="C3371" s="8"/>
    </row>
    <row r="3372" spans="1:3" x14ac:dyDescent="0.25">
      <c r="A3372" s="8"/>
      <c r="B3372" s="9"/>
      <c r="C3372" s="8"/>
    </row>
    <row r="3373" spans="1:3" x14ac:dyDescent="0.25">
      <c r="A3373" s="8"/>
      <c r="B3373" s="9"/>
      <c r="C3373" s="8"/>
    </row>
    <row r="3374" spans="1:3" x14ac:dyDescent="0.25">
      <c r="A3374" s="8"/>
      <c r="B3374" s="9"/>
      <c r="C3374" s="8"/>
    </row>
    <row r="3375" spans="1:3" x14ac:dyDescent="0.25">
      <c r="A3375" s="8"/>
      <c r="B3375" s="9"/>
      <c r="C3375" s="8"/>
    </row>
    <row r="3376" spans="1:3" x14ac:dyDescent="0.25">
      <c r="A3376" s="8"/>
      <c r="B3376" s="9"/>
      <c r="C3376" s="8"/>
    </row>
    <row r="3377" spans="1:3" x14ac:dyDescent="0.25">
      <c r="A3377" s="8"/>
      <c r="B3377" s="9"/>
      <c r="C3377" s="8"/>
    </row>
    <row r="3378" spans="1:3" x14ac:dyDescent="0.25">
      <c r="A3378" s="8"/>
      <c r="B3378" s="9"/>
      <c r="C3378" s="8"/>
    </row>
    <row r="3379" spans="1:3" x14ac:dyDescent="0.25">
      <c r="A3379" s="8"/>
      <c r="B3379" s="9"/>
      <c r="C3379" s="8"/>
    </row>
    <row r="3380" spans="1:3" x14ac:dyDescent="0.25">
      <c r="A3380" s="8"/>
      <c r="B3380" s="9"/>
      <c r="C3380" s="8"/>
    </row>
    <row r="3381" spans="1:3" x14ac:dyDescent="0.25">
      <c r="A3381" s="8"/>
      <c r="B3381" s="9"/>
      <c r="C3381" s="8"/>
    </row>
    <row r="3382" spans="1:3" x14ac:dyDescent="0.25">
      <c r="A3382" s="8"/>
      <c r="B3382" s="9"/>
      <c r="C3382" s="8"/>
    </row>
    <row r="3383" spans="1:3" x14ac:dyDescent="0.25">
      <c r="A3383" s="8"/>
      <c r="B3383" s="9"/>
      <c r="C3383" s="8"/>
    </row>
    <row r="3384" spans="1:3" x14ac:dyDescent="0.25">
      <c r="A3384" s="8"/>
      <c r="B3384" s="9"/>
      <c r="C3384" s="8"/>
    </row>
    <row r="3385" spans="1:3" x14ac:dyDescent="0.25">
      <c r="A3385" s="8"/>
      <c r="B3385" s="9"/>
      <c r="C3385" s="8"/>
    </row>
    <row r="3386" spans="1:3" x14ac:dyDescent="0.25">
      <c r="A3386" s="8"/>
      <c r="B3386" s="9"/>
      <c r="C3386" s="8"/>
    </row>
    <row r="3387" spans="1:3" x14ac:dyDescent="0.25">
      <c r="A3387" s="8"/>
      <c r="B3387" s="9"/>
      <c r="C3387" s="8"/>
    </row>
    <row r="3388" spans="1:3" x14ac:dyDescent="0.25">
      <c r="A3388" s="8"/>
      <c r="B3388" s="9"/>
      <c r="C3388" s="8"/>
    </row>
    <row r="3389" spans="1:3" x14ac:dyDescent="0.25">
      <c r="A3389" s="8"/>
      <c r="B3389" s="9"/>
      <c r="C3389" s="8"/>
    </row>
    <row r="3390" spans="1:3" x14ac:dyDescent="0.25">
      <c r="A3390" s="8"/>
      <c r="B3390" s="9"/>
      <c r="C3390" s="8"/>
    </row>
    <row r="3391" spans="1:3" x14ac:dyDescent="0.25">
      <c r="A3391" s="8"/>
      <c r="B3391" s="9"/>
      <c r="C3391" s="8"/>
    </row>
    <row r="3392" spans="1:3" x14ac:dyDescent="0.25">
      <c r="A3392" s="8"/>
      <c r="B3392" s="9"/>
      <c r="C3392" s="8"/>
    </row>
    <row r="3393" spans="1:3" x14ac:dyDescent="0.25">
      <c r="A3393" s="8"/>
      <c r="B3393" s="9"/>
      <c r="C3393" s="8"/>
    </row>
    <row r="3394" spans="1:3" x14ac:dyDescent="0.25">
      <c r="A3394" s="8"/>
      <c r="B3394" s="9"/>
      <c r="C3394" s="8"/>
    </row>
    <row r="3395" spans="1:3" x14ac:dyDescent="0.25">
      <c r="A3395" s="8"/>
      <c r="B3395" s="9"/>
      <c r="C3395" s="8"/>
    </row>
    <row r="3396" spans="1:3" x14ac:dyDescent="0.25">
      <c r="A3396" s="8"/>
      <c r="B3396" s="9"/>
      <c r="C3396" s="8"/>
    </row>
    <row r="3397" spans="1:3" x14ac:dyDescent="0.25">
      <c r="A3397" s="8"/>
      <c r="B3397" s="9"/>
      <c r="C3397" s="8"/>
    </row>
    <row r="3398" spans="1:3" x14ac:dyDescent="0.25">
      <c r="A3398" s="8"/>
      <c r="B3398" s="9"/>
      <c r="C3398" s="8"/>
    </row>
    <row r="3399" spans="1:3" x14ac:dyDescent="0.25">
      <c r="A3399" s="8"/>
      <c r="B3399" s="9"/>
      <c r="C3399" s="8"/>
    </row>
    <row r="3400" spans="1:3" x14ac:dyDescent="0.25">
      <c r="A3400" s="8"/>
      <c r="B3400" s="9"/>
      <c r="C3400" s="8"/>
    </row>
    <row r="3401" spans="1:3" x14ac:dyDescent="0.25">
      <c r="A3401" s="8"/>
      <c r="B3401" s="9"/>
      <c r="C3401" s="8"/>
    </row>
    <row r="3402" spans="1:3" x14ac:dyDescent="0.25">
      <c r="A3402" s="8"/>
      <c r="B3402" s="9"/>
      <c r="C3402" s="8"/>
    </row>
    <row r="3403" spans="1:3" x14ac:dyDescent="0.25">
      <c r="A3403" s="8"/>
      <c r="B3403" s="9"/>
      <c r="C3403" s="8"/>
    </row>
    <row r="3404" spans="1:3" x14ac:dyDescent="0.25">
      <c r="A3404" s="8"/>
      <c r="B3404" s="9"/>
      <c r="C3404" s="8"/>
    </row>
    <row r="3405" spans="1:3" x14ac:dyDescent="0.25">
      <c r="A3405" s="8"/>
      <c r="B3405" s="9"/>
      <c r="C3405" s="8"/>
    </row>
    <row r="3406" spans="1:3" x14ac:dyDescent="0.25">
      <c r="A3406" s="8"/>
      <c r="B3406" s="9"/>
      <c r="C3406" s="8"/>
    </row>
    <row r="3407" spans="1:3" x14ac:dyDescent="0.25">
      <c r="A3407" s="8"/>
      <c r="B3407" s="9"/>
      <c r="C3407" s="8"/>
    </row>
    <row r="3408" spans="1:3" x14ac:dyDescent="0.25">
      <c r="A3408" s="8"/>
      <c r="B3408" s="9"/>
      <c r="C3408" s="8"/>
    </row>
    <row r="3409" spans="1:3" x14ac:dyDescent="0.25">
      <c r="A3409" s="8"/>
      <c r="B3409" s="9"/>
      <c r="C3409" s="8"/>
    </row>
    <row r="3410" spans="1:3" x14ac:dyDescent="0.25">
      <c r="A3410" s="8"/>
      <c r="B3410" s="9"/>
      <c r="C3410" s="8"/>
    </row>
    <row r="3411" spans="1:3" x14ac:dyDescent="0.25">
      <c r="A3411" s="8"/>
      <c r="B3411" s="9"/>
      <c r="C3411" s="8"/>
    </row>
    <row r="3412" spans="1:3" x14ac:dyDescent="0.25">
      <c r="A3412" s="8"/>
      <c r="B3412" s="9"/>
      <c r="C3412" s="8"/>
    </row>
    <row r="3413" spans="1:3" x14ac:dyDescent="0.25">
      <c r="A3413" s="8"/>
      <c r="B3413" s="9"/>
      <c r="C3413" s="8"/>
    </row>
    <row r="3414" spans="1:3" x14ac:dyDescent="0.25">
      <c r="A3414" s="8"/>
      <c r="B3414" s="9"/>
      <c r="C3414" s="8"/>
    </row>
    <row r="3415" spans="1:3" x14ac:dyDescent="0.25">
      <c r="A3415" s="8"/>
      <c r="B3415" s="9"/>
      <c r="C3415" s="8"/>
    </row>
    <row r="3416" spans="1:3" x14ac:dyDescent="0.25">
      <c r="A3416" s="8"/>
      <c r="B3416" s="9"/>
      <c r="C3416" s="8"/>
    </row>
    <row r="3417" spans="1:3" x14ac:dyDescent="0.25">
      <c r="A3417" s="8"/>
      <c r="B3417" s="9"/>
      <c r="C3417" s="8"/>
    </row>
    <row r="3418" spans="1:3" x14ac:dyDescent="0.25">
      <c r="A3418" s="8"/>
      <c r="B3418" s="9"/>
      <c r="C3418" s="8"/>
    </row>
    <row r="3419" spans="1:3" x14ac:dyDescent="0.25">
      <c r="A3419" s="8"/>
      <c r="B3419" s="9"/>
      <c r="C3419" s="8"/>
    </row>
    <row r="3420" spans="1:3" x14ac:dyDescent="0.25">
      <c r="A3420" s="8"/>
      <c r="B3420" s="9"/>
      <c r="C3420" s="8"/>
    </row>
    <row r="3421" spans="1:3" x14ac:dyDescent="0.25">
      <c r="A3421" s="8"/>
      <c r="B3421" s="9"/>
      <c r="C3421" s="8"/>
    </row>
    <row r="3422" spans="1:3" x14ac:dyDescent="0.25">
      <c r="A3422" s="8"/>
      <c r="B3422" s="9"/>
      <c r="C3422" s="8"/>
    </row>
    <row r="3423" spans="1:3" x14ac:dyDescent="0.25">
      <c r="A3423" s="8"/>
      <c r="B3423" s="9"/>
      <c r="C3423" s="8"/>
    </row>
    <row r="3424" spans="1:3" x14ac:dyDescent="0.25">
      <c r="A3424" s="8"/>
      <c r="B3424" s="9"/>
      <c r="C3424" s="8"/>
    </row>
    <row r="3425" spans="1:3" x14ac:dyDescent="0.25">
      <c r="A3425" s="8"/>
      <c r="B3425" s="9"/>
      <c r="C3425" s="8"/>
    </row>
    <row r="3426" spans="1:3" x14ac:dyDescent="0.25">
      <c r="A3426" s="8"/>
      <c r="B3426" s="9"/>
      <c r="C3426" s="8"/>
    </row>
    <row r="3427" spans="1:3" x14ac:dyDescent="0.25">
      <c r="A3427" s="8"/>
      <c r="B3427" s="9"/>
      <c r="C3427" s="8"/>
    </row>
    <row r="3428" spans="1:3" x14ac:dyDescent="0.25">
      <c r="A3428" s="8"/>
      <c r="B3428" s="9"/>
      <c r="C3428" s="8"/>
    </row>
    <row r="3429" spans="1:3" x14ac:dyDescent="0.25">
      <c r="A3429" s="8"/>
      <c r="B3429" s="9"/>
      <c r="C3429" s="8"/>
    </row>
    <row r="3430" spans="1:3" x14ac:dyDescent="0.25">
      <c r="A3430" s="8"/>
      <c r="B3430" s="9"/>
      <c r="C3430" s="8"/>
    </row>
    <row r="3431" spans="1:3" x14ac:dyDescent="0.25">
      <c r="A3431" s="8"/>
      <c r="B3431" s="9"/>
      <c r="C3431" s="8"/>
    </row>
    <row r="3432" spans="1:3" x14ac:dyDescent="0.25">
      <c r="A3432" s="8"/>
      <c r="B3432" s="9"/>
      <c r="C3432" s="8"/>
    </row>
    <row r="3433" spans="1:3" x14ac:dyDescent="0.25">
      <c r="A3433" s="8"/>
      <c r="B3433" s="9"/>
      <c r="C3433" s="8"/>
    </row>
    <row r="3434" spans="1:3" x14ac:dyDescent="0.25">
      <c r="A3434" s="8"/>
      <c r="B3434" s="9"/>
      <c r="C3434" s="8"/>
    </row>
    <row r="3435" spans="1:3" x14ac:dyDescent="0.25">
      <c r="A3435" s="8"/>
      <c r="B3435" s="9"/>
      <c r="C3435" s="8"/>
    </row>
    <row r="3436" spans="1:3" x14ac:dyDescent="0.25">
      <c r="A3436" s="8"/>
      <c r="B3436" s="9"/>
      <c r="C3436" s="8"/>
    </row>
    <row r="3437" spans="1:3" x14ac:dyDescent="0.25">
      <c r="A3437" s="8"/>
      <c r="B3437" s="9"/>
      <c r="C3437" s="8"/>
    </row>
    <row r="3438" spans="1:3" x14ac:dyDescent="0.25">
      <c r="A3438" s="8"/>
      <c r="B3438" s="9"/>
      <c r="C3438" s="8"/>
    </row>
    <row r="3439" spans="1:3" x14ac:dyDescent="0.25">
      <c r="A3439" s="8"/>
      <c r="B3439" s="9"/>
      <c r="C3439" s="8"/>
    </row>
    <row r="3440" spans="1:3" x14ac:dyDescent="0.25">
      <c r="A3440" s="8"/>
      <c r="B3440" s="9"/>
      <c r="C3440" s="8"/>
    </row>
    <row r="3441" spans="1:3" x14ac:dyDescent="0.25">
      <c r="A3441" s="8"/>
      <c r="B3441" s="9"/>
      <c r="C3441" s="8"/>
    </row>
    <row r="3442" spans="1:3" x14ac:dyDescent="0.25">
      <c r="A3442" s="8"/>
      <c r="B3442" s="9"/>
      <c r="C3442" s="8"/>
    </row>
    <row r="3443" spans="1:3" x14ac:dyDescent="0.25">
      <c r="A3443" s="8"/>
      <c r="B3443" s="9"/>
      <c r="C3443" s="8"/>
    </row>
    <row r="3444" spans="1:3" x14ac:dyDescent="0.25">
      <c r="A3444" s="8"/>
      <c r="B3444" s="9"/>
      <c r="C3444" s="8"/>
    </row>
    <row r="3445" spans="1:3" x14ac:dyDescent="0.25">
      <c r="A3445" s="8"/>
      <c r="B3445" s="9"/>
      <c r="C3445" s="8"/>
    </row>
    <row r="3446" spans="1:3" x14ac:dyDescent="0.25">
      <c r="A3446" s="8"/>
      <c r="B3446" s="9"/>
      <c r="C3446" s="8"/>
    </row>
    <row r="3447" spans="1:3" x14ac:dyDescent="0.25">
      <c r="A3447" s="8"/>
      <c r="B3447" s="9"/>
      <c r="C3447" s="8"/>
    </row>
    <row r="3448" spans="1:3" x14ac:dyDescent="0.25">
      <c r="A3448" s="8"/>
      <c r="B3448" s="9"/>
      <c r="C3448" s="8"/>
    </row>
    <row r="3449" spans="1:3" x14ac:dyDescent="0.25">
      <c r="A3449" s="8"/>
      <c r="B3449" s="9"/>
      <c r="C3449" s="8"/>
    </row>
    <row r="3450" spans="1:3" x14ac:dyDescent="0.25">
      <c r="A3450" s="8"/>
      <c r="B3450" s="9"/>
      <c r="C3450" s="8"/>
    </row>
    <row r="3451" spans="1:3" x14ac:dyDescent="0.25">
      <c r="A3451" s="8"/>
      <c r="B3451" s="9"/>
      <c r="C3451" s="8"/>
    </row>
    <row r="3452" spans="1:3" x14ac:dyDescent="0.25">
      <c r="A3452" s="8"/>
      <c r="B3452" s="9"/>
      <c r="C3452" s="8"/>
    </row>
    <row r="3453" spans="1:3" x14ac:dyDescent="0.25">
      <c r="A3453" s="8"/>
      <c r="B3453" s="9"/>
      <c r="C3453" s="8"/>
    </row>
    <row r="3454" spans="1:3" x14ac:dyDescent="0.25">
      <c r="A3454" s="8"/>
      <c r="B3454" s="9"/>
      <c r="C3454" s="8"/>
    </row>
    <row r="3455" spans="1:3" x14ac:dyDescent="0.25">
      <c r="A3455" s="8"/>
      <c r="B3455" s="9"/>
      <c r="C3455" s="8"/>
    </row>
    <row r="3456" spans="1:3" x14ac:dyDescent="0.25">
      <c r="A3456" s="8"/>
      <c r="B3456" s="9"/>
      <c r="C3456" s="8"/>
    </row>
    <row r="3457" spans="1:3" x14ac:dyDescent="0.25">
      <c r="A3457" s="8"/>
      <c r="B3457" s="9"/>
      <c r="C3457" s="8"/>
    </row>
    <row r="3458" spans="1:3" x14ac:dyDescent="0.25">
      <c r="A3458" s="8"/>
      <c r="B3458" s="9"/>
      <c r="C3458" s="8"/>
    </row>
    <row r="3459" spans="1:3" x14ac:dyDescent="0.25">
      <c r="A3459" s="8"/>
      <c r="B3459" s="9"/>
      <c r="C3459" s="8"/>
    </row>
    <row r="3460" spans="1:3" x14ac:dyDescent="0.25">
      <c r="A3460" s="8"/>
      <c r="B3460" s="9"/>
      <c r="C3460" s="8"/>
    </row>
    <row r="3461" spans="1:3" x14ac:dyDescent="0.25">
      <c r="A3461" s="8"/>
      <c r="B3461" s="9"/>
      <c r="C3461" s="8"/>
    </row>
    <row r="3462" spans="1:3" x14ac:dyDescent="0.25">
      <c r="A3462" s="8"/>
      <c r="B3462" s="9"/>
      <c r="C3462" s="8"/>
    </row>
    <row r="3463" spans="1:3" x14ac:dyDescent="0.25">
      <c r="A3463" s="8"/>
      <c r="B3463" s="9"/>
      <c r="C3463" s="8"/>
    </row>
    <row r="3464" spans="1:3" x14ac:dyDescent="0.25">
      <c r="A3464" s="8"/>
      <c r="B3464" s="9"/>
      <c r="C3464" s="8"/>
    </row>
    <row r="3465" spans="1:3" x14ac:dyDescent="0.25">
      <c r="A3465" s="8"/>
      <c r="B3465" s="9"/>
      <c r="C3465" s="8"/>
    </row>
    <row r="3466" spans="1:3" x14ac:dyDescent="0.25">
      <c r="A3466" s="8"/>
      <c r="B3466" s="9"/>
      <c r="C3466" s="8"/>
    </row>
    <row r="3467" spans="1:3" x14ac:dyDescent="0.25">
      <c r="A3467" s="8"/>
      <c r="B3467" s="9"/>
      <c r="C3467" s="8"/>
    </row>
    <row r="3468" spans="1:3" x14ac:dyDescent="0.25">
      <c r="A3468" s="8"/>
      <c r="B3468" s="9"/>
      <c r="C3468" s="8"/>
    </row>
    <row r="3469" spans="1:3" x14ac:dyDescent="0.25">
      <c r="A3469" s="8"/>
      <c r="B3469" s="9"/>
      <c r="C3469" s="8"/>
    </row>
    <row r="3470" spans="1:3" x14ac:dyDescent="0.25">
      <c r="A3470" s="8"/>
      <c r="B3470" s="9"/>
      <c r="C3470" s="8"/>
    </row>
    <row r="3471" spans="1:3" x14ac:dyDescent="0.25">
      <c r="A3471" s="8"/>
      <c r="B3471" s="9"/>
      <c r="C3471" s="8"/>
    </row>
    <row r="3472" spans="1:3" x14ac:dyDescent="0.25">
      <c r="A3472" s="8"/>
      <c r="B3472" s="9"/>
      <c r="C3472" s="8"/>
    </row>
    <row r="3473" spans="1:3" x14ac:dyDescent="0.25">
      <c r="A3473" s="8"/>
      <c r="B3473" s="9"/>
      <c r="C3473" s="8"/>
    </row>
    <row r="3474" spans="1:3" x14ac:dyDescent="0.25">
      <c r="A3474" s="8"/>
      <c r="B3474" s="9"/>
      <c r="C3474" s="8"/>
    </row>
    <row r="3475" spans="1:3" x14ac:dyDescent="0.25">
      <c r="A3475" s="8"/>
      <c r="B3475" s="9"/>
      <c r="C3475" s="8"/>
    </row>
    <row r="3476" spans="1:3" x14ac:dyDescent="0.25">
      <c r="A3476" s="8"/>
      <c r="B3476" s="9"/>
      <c r="C3476" s="8"/>
    </row>
    <row r="3477" spans="1:3" x14ac:dyDescent="0.25">
      <c r="A3477" s="8"/>
      <c r="B3477" s="9"/>
      <c r="C3477" s="8"/>
    </row>
    <row r="3478" spans="1:3" x14ac:dyDescent="0.25">
      <c r="A3478" s="8"/>
      <c r="B3478" s="9"/>
      <c r="C3478" s="8"/>
    </row>
    <row r="3479" spans="1:3" x14ac:dyDescent="0.25">
      <c r="A3479" s="8"/>
      <c r="B3479" s="9"/>
      <c r="C3479" s="8"/>
    </row>
    <row r="3480" spans="1:3" x14ac:dyDescent="0.25">
      <c r="A3480" s="8"/>
      <c r="B3480" s="9"/>
      <c r="C3480" s="8"/>
    </row>
    <row r="3481" spans="1:3" x14ac:dyDescent="0.25">
      <c r="A3481" s="8"/>
      <c r="B3481" s="9"/>
      <c r="C3481" s="8"/>
    </row>
    <row r="3482" spans="1:3" x14ac:dyDescent="0.25">
      <c r="A3482" s="8"/>
      <c r="B3482" s="9"/>
      <c r="C3482" s="8"/>
    </row>
    <row r="3483" spans="1:3" x14ac:dyDescent="0.25">
      <c r="A3483" s="8"/>
      <c r="B3483" s="9"/>
      <c r="C3483" s="8"/>
    </row>
    <row r="3484" spans="1:3" x14ac:dyDescent="0.25">
      <c r="A3484" s="8"/>
      <c r="B3484" s="9"/>
      <c r="C3484" s="8"/>
    </row>
    <row r="3485" spans="1:3" x14ac:dyDescent="0.25">
      <c r="A3485" s="8"/>
      <c r="B3485" s="9"/>
      <c r="C3485" s="8"/>
    </row>
    <row r="3486" spans="1:3" x14ac:dyDescent="0.25">
      <c r="A3486" s="8"/>
      <c r="B3486" s="9"/>
      <c r="C3486" s="8"/>
    </row>
    <row r="3487" spans="1:3" x14ac:dyDescent="0.25">
      <c r="A3487" s="8"/>
      <c r="B3487" s="9"/>
      <c r="C3487" s="8"/>
    </row>
    <row r="3488" spans="1:3" x14ac:dyDescent="0.25">
      <c r="A3488" s="8"/>
      <c r="B3488" s="9"/>
      <c r="C3488" s="8"/>
    </row>
    <row r="3489" spans="1:3" x14ac:dyDescent="0.25">
      <c r="A3489" s="8"/>
      <c r="B3489" s="9"/>
      <c r="C3489" s="8"/>
    </row>
    <row r="3490" spans="1:3" x14ac:dyDescent="0.25">
      <c r="A3490" s="8"/>
      <c r="B3490" s="9"/>
      <c r="C3490" s="8"/>
    </row>
    <row r="3491" spans="1:3" x14ac:dyDescent="0.25">
      <c r="A3491" s="8"/>
      <c r="B3491" s="9"/>
      <c r="C3491" s="8"/>
    </row>
    <row r="3492" spans="1:3" x14ac:dyDescent="0.25">
      <c r="A3492" s="8"/>
      <c r="B3492" s="9"/>
      <c r="C3492" s="8"/>
    </row>
    <row r="3493" spans="1:3" x14ac:dyDescent="0.25">
      <c r="A3493" s="8"/>
      <c r="B3493" s="9"/>
      <c r="C3493" s="8"/>
    </row>
    <row r="3494" spans="1:3" x14ac:dyDescent="0.25">
      <c r="A3494" s="8"/>
      <c r="B3494" s="9"/>
      <c r="C3494" s="8"/>
    </row>
    <row r="3495" spans="1:3" x14ac:dyDescent="0.25">
      <c r="A3495" s="8"/>
      <c r="B3495" s="9"/>
      <c r="C3495" s="8"/>
    </row>
    <row r="3496" spans="1:3" x14ac:dyDescent="0.25">
      <c r="A3496" s="8"/>
      <c r="B3496" s="9"/>
      <c r="C3496" s="8"/>
    </row>
    <row r="3497" spans="1:3" x14ac:dyDescent="0.25">
      <c r="A3497" s="8"/>
      <c r="B3497" s="9"/>
      <c r="C3497" s="8"/>
    </row>
    <row r="3498" spans="1:3" x14ac:dyDescent="0.25">
      <c r="A3498" s="8"/>
      <c r="B3498" s="9"/>
      <c r="C3498" s="8"/>
    </row>
    <row r="3499" spans="1:3" x14ac:dyDescent="0.25">
      <c r="A3499" s="8"/>
      <c r="B3499" s="9"/>
      <c r="C3499" s="8"/>
    </row>
    <row r="3500" spans="1:3" x14ac:dyDescent="0.25">
      <c r="A3500" s="8"/>
      <c r="B3500" s="9"/>
      <c r="C3500" s="8"/>
    </row>
    <row r="3501" spans="1:3" x14ac:dyDescent="0.25">
      <c r="A3501" s="8"/>
      <c r="B3501" s="9"/>
      <c r="C3501" s="8"/>
    </row>
    <row r="3502" spans="1:3" x14ac:dyDescent="0.25">
      <c r="A3502" s="8"/>
      <c r="B3502" s="9"/>
      <c r="C3502" s="8"/>
    </row>
    <row r="3503" spans="1:3" x14ac:dyDescent="0.25">
      <c r="A3503" s="8"/>
      <c r="B3503" s="9"/>
      <c r="C3503" s="8"/>
    </row>
    <row r="3504" spans="1:3" x14ac:dyDescent="0.25">
      <c r="A3504" s="8"/>
      <c r="B3504" s="9"/>
      <c r="C3504" s="8"/>
    </row>
    <row r="3505" spans="1:3" x14ac:dyDescent="0.25">
      <c r="A3505" s="8"/>
      <c r="B3505" s="9"/>
      <c r="C3505" s="8"/>
    </row>
    <row r="3506" spans="1:3" x14ac:dyDescent="0.25">
      <c r="A3506" s="8"/>
      <c r="B3506" s="9"/>
      <c r="C3506" s="8"/>
    </row>
    <row r="3507" spans="1:3" x14ac:dyDescent="0.25">
      <c r="A3507" s="8"/>
      <c r="B3507" s="9"/>
      <c r="C3507" s="8"/>
    </row>
    <row r="3508" spans="1:3" x14ac:dyDescent="0.25">
      <c r="A3508" s="8"/>
      <c r="B3508" s="9"/>
      <c r="C3508" s="8"/>
    </row>
    <row r="3509" spans="1:3" x14ac:dyDescent="0.25">
      <c r="A3509" s="8"/>
      <c r="B3509" s="9"/>
      <c r="C3509" s="8"/>
    </row>
    <row r="3510" spans="1:3" x14ac:dyDescent="0.25">
      <c r="A3510" s="8"/>
      <c r="B3510" s="9"/>
      <c r="C3510" s="8"/>
    </row>
    <row r="3511" spans="1:3" x14ac:dyDescent="0.25">
      <c r="A3511" s="8"/>
      <c r="B3511" s="9"/>
      <c r="C3511" s="8"/>
    </row>
    <row r="3512" spans="1:3" x14ac:dyDescent="0.25">
      <c r="A3512" s="8"/>
      <c r="B3512" s="9"/>
      <c r="C3512" s="8"/>
    </row>
    <row r="3513" spans="1:3" x14ac:dyDescent="0.25">
      <c r="A3513" s="8"/>
      <c r="B3513" s="9"/>
      <c r="C3513" s="8"/>
    </row>
    <row r="3514" spans="1:3" x14ac:dyDescent="0.25">
      <c r="A3514" s="8"/>
      <c r="B3514" s="9"/>
      <c r="C3514" s="8"/>
    </row>
    <row r="3515" spans="1:3" x14ac:dyDescent="0.25">
      <c r="A3515" s="8"/>
      <c r="B3515" s="9"/>
      <c r="C3515" s="8"/>
    </row>
    <row r="3516" spans="1:3" x14ac:dyDescent="0.25">
      <c r="A3516" s="8"/>
      <c r="B3516" s="9"/>
      <c r="C3516" s="8"/>
    </row>
    <row r="3517" spans="1:3" x14ac:dyDescent="0.25">
      <c r="A3517" s="8"/>
      <c r="B3517" s="9"/>
      <c r="C3517" s="8"/>
    </row>
    <row r="3518" spans="1:3" x14ac:dyDescent="0.25">
      <c r="A3518" s="8"/>
      <c r="B3518" s="9"/>
      <c r="C3518" s="8"/>
    </row>
    <row r="3519" spans="1:3" x14ac:dyDescent="0.25">
      <c r="A3519" s="8"/>
      <c r="B3519" s="9"/>
      <c r="C3519" s="8"/>
    </row>
    <row r="3520" spans="1:3" x14ac:dyDescent="0.25">
      <c r="A3520" s="8"/>
      <c r="B3520" s="9"/>
      <c r="C3520" s="8"/>
    </row>
    <row r="3521" spans="1:3" x14ac:dyDescent="0.25">
      <c r="A3521" s="8"/>
      <c r="B3521" s="9"/>
      <c r="C3521" s="8"/>
    </row>
    <row r="3522" spans="1:3" x14ac:dyDescent="0.25">
      <c r="A3522" s="8"/>
      <c r="B3522" s="9"/>
      <c r="C3522" s="8"/>
    </row>
    <row r="3523" spans="1:3" x14ac:dyDescent="0.25">
      <c r="A3523" s="8"/>
      <c r="B3523" s="9"/>
      <c r="C3523" s="8"/>
    </row>
    <row r="3524" spans="1:3" x14ac:dyDescent="0.25">
      <c r="A3524" s="8"/>
      <c r="B3524" s="9"/>
      <c r="C3524" s="8"/>
    </row>
    <row r="3525" spans="1:3" x14ac:dyDescent="0.25">
      <c r="A3525" s="8"/>
      <c r="B3525" s="9"/>
      <c r="C3525" s="8"/>
    </row>
    <row r="3526" spans="1:3" x14ac:dyDescent="0.25">
      <c r="A3526" s="8"/>
      <c r="B3526" s="9"/>
      <c r="C3526" s="8"/>
    </row>
    <row r="3527" spans="1:3" x14ac:dyDescent="0.25">
      <c r="A3527" s="8"/>
      <c r="B3527" s="9"/>
      <c r="C3527" s="8"/>
    </row>
    <row r="3528" spans="1:3" x14ac:dyDescent="0.25">
      <c r="A3528" s="8"/>
      <c r="B3528" s="9"/>
      <c r="C3528" s="8"/>
    </row>
    <row r="3529" spans="1:3" x14ac:dyDescent="0.25">
      <c r="A3529" s="8"/>
      <c r="B3529" s="9"/>
      <c r="C3529" s="8"/>
    </row>
    <row r="3530" spans="1:3" x14ac:dyDescent="0.25">
      <c r="A3530" s="8"/>
      <c r="B3530" s="9"/>
      <c r="C3530" s="8"/>
    </row>
    <row r="3531" spans="1:3" x14ac:dyDescent="0.25">
      <c r="A3531" s="8"/>
      <c r="B3531" s="9"/>
      <c r="C3531" s="8"/>
    </row>
    <row r="3532" spans="1:3" x14ac:dyDescent="0.25">
      <c r="A3532" s="8"/>
      <c r="B3532" s="9"/>
      <c r="C3532" s="8"/>
    </row>
    <row r="3533" spans="1:3" x14ac:dyDescent="0.25">
      <c r="A3533" s="8"/>
      <c r="B3533" s="9"/>
      <c r="C3533" s="8"/>
    </row>
    <row r="3534" spans="1:3" x14ac:dyDescent="0.25">
      <c r="A3534" s="8"/>
      <c r="B3534" s="9"/>
      <c r="C3534" s="8"/>
    </row>
    <row r="3535" spans="1:3" x14ac:dyDescent="0.25">
      <c r="A3535" s="8"/>
      <c r="B3535" s="9"/>
      <c r="C3535" s="8"/>
    </row>
    <row r="3536" spans="1:3" x14ac:dyDescent="0.25">
      <c r="A3536" s="8"/>
      <c r="B3536" s="9"/>
      <c r="C3536" s="8"/>
    </row>
    <row r="3537" spans="1:3" x14ac:dyDescent="0.25">
      <c r="A3537" s="8"/>
      <c r="B3537" s="9"/>
      <c r="C3537" s="8"/>
    </row>
    <row r="3538" spans="1:3" x14ac:dyDescent="0.25">
      <c r="A3538" s="8"/>
      <c r="B3538" s="9"/>
      <c r="C3538" s="8"/>
    </row>
    <row r="3539" spans="1:3" x14ac:dyDescent="0.25">
      <c r="A3539" s="8"/>
      <c r="B3539" s="9"/>
      <c r="C3539" s="8"/>
    </row>
    <row r="3540" spans="1:3" x14ac:dyDescent="0.25">
      <c r="A3540" s="8"/>
      <c r="B3540" s="9"/>
      <c r="C3540" s="8"/>
    </row>
    <row r="3541" spans="1:3" x14ac:dyDescent="0.25">
      <c r="A3541" s="8"/>
      <c r="B3541" s="9"/>
      <c r="C3541" s="8"/>
    </row>
    <row r="3542" spans="1:3" x14ac:dyDescent="0.25">
      <c r="A3542" s="8"/>
      <c r="B3542" s="9"/>
      <c r="C3542" s="8"/>
    </row>
    <row r="3543" spans="1:3" x14ac:dyDescent="0.25">
      <c r="A3543" s="8"/>
      <c r="B3543" s="9"/>
      <c r="C3543" s="8"/>
    </row>
    <row r="3544" spans="1:3" x14ac:dyDescent="0.25">
      <c r="A3544" s="8"/>
      <c r="B3544" s="9"/>
      <c r="C3544" s="8"/>
    </row>
    <row r="3545" spans="1:3" x14ac:dyDescent="0.25">
      <c r="A3545" s="8"/>
      <c r="B3545" s="9"/>
      <c r="C3545" s="8"/>
    </row>
    <row r="3546" spans="1:3" x14ac:dyDescent="0.25">
      <c r="A3546" s="8"/>
      <c r="B3546" s="9"/>
      <c r="C3546" s="8"/>
    </row>
    <row r="3547" spans="1:3" x14ac:dyDescent="0.25">
      <c r="A3547" s="8"/>
      <c r="B3547" s="9"/>
      <c r="C3547" s="8"/>
    </row>
    <row r="3548" spans="1:3" x14ac:dyDescent="0.25">
      <c r="A3548" s="8"/>
      <c r="B3548" s="9"/>
      <c r="C3548" s="8"/>
    </row>
    <row r="3549" spans="1:3" x14ac:dyDescent="0.25">
      <c r="A3549" s="8"/>
      <c r="B3549" s="9"/>
      <c r="C3549" s="8"/>
    </row>
    <row r="3550" spans="1:3" x14ac:dyDescent="0.25">
      <c r="A3550" s="8"/>
      <c r="B3550" s="9"/>
      <c r="C3550" s="8"/>
    </row>
    <row r="3551" spans="1:3" x14ac:dyDescent="0.25">
      <c r="A3551" s="8"/>
      <c r="B3551" s="9"/>
      <c r="C3551" s="8"/>
    </row>
    <row r="3552" spans="1:3" x14ac:dyDescent="0.25">
      <c r="A3552" s="8"/>
      <c r="B3552" s="9"/>
      <c r="C3552" s="8"/>
    </row>
    <row r="3553" spans="1:3" x14ac:dyDescent="0.25">
      <c r="A3553" s="8"/>
      <c r="B3553" s="9"/>
      <c r="C3553" s="8"/>
    </row>
    <row r="3554" spans="1:3" x14ac:dyDescent="0.25">
      <c r="A3554" s="8"/>
      <c r="B3554" s="9"/>
      <c r="C3554" s="8"/>
    </row>
    <row r="3555" spans="1:3" x14ac:dyDescent="0.25">
      <c r="A3555" s="8"/>
      <c r="B3555" s="9"/>
      <c r="C3555" s="8"/>
    </row>
    <row r="3556" spans="1:3" x14ac:dyDescent="0.25">
      <c r="A3556" s="8"/>
      <c r="B3556" s="9"/>
      <c r="C3556" s="8"/>
    </row>
    <row r="3557" spans="1:3" x14ac:dyDescent="0.25">
      <c r="A3557" s="8"/>
      <c r="B3557" s="9"/>
      <c r="C3557" s="8"/>
    </row>
    <row r="3558" spans="1:3" x14ac:dyDescent="0.25">
      <c r="A3558" s="8"/>
      <c r="B3558" s="9"/>
      <c r="C3558" s="8"/>
    </row>
    <row r="3559" spans="1:3" x14ac:dyDescent="0.25">
      <c r="A3559" s="8"/>
      <c r="B3559" s="9"/>
      <c r="C3559" s="8"/>
    </row>
    <row r="3560" spans="1:3" x14ac:dyDescent="0.25">
      <c r="A3560" s="8"/>
      <c r="B3560" s="9"/>
      <c r="C3560" s="8"/>
    </row>
    <row r="3561" spans="1:3" x14ac:dyDescent="0.25">
      <c r="A3561" s="8"/>
      <c r="B3561" s="9"/>
      <c r="C3561" s="8"/>
    </row>
    <row r="3562" spans="1:3" x14ac:dyDescent="0.25">
      <c r="A3562" s="8"/>
      <c r="B3562" s="9"/>
      <c r="C3562" s="8"/>
    </row>
    <row r="3563" spans="1:3" x14ac:dyDescent="0.25">
      <c r="A3563" s="8"/>
      <c r="B3563" s="9"/>
      <c r="C3563" s="8"/>
    </row>
    <row r="3564" spans="1:3" x14ac:dyDescent="0.25">
      <c r="A3564" s="8"/>
      <c r="B3564" s="9"/>
      <c r="C3564" s="8"/>
    </row>
    <row r="3565" spans="1:3" x14ac:dyDescent="0.25">
      <c r="A3565" s="8"/>
      <c r="B3565" s="9"/>
      <c r="C3565" s="8"/>
    </row>
    <row r="3566" spans="1:3" x14ac:dyDescent="0.25">
      <c r="A3566" s="8"/>
      <c r="B3566" s="9"/>
      <c r="C3566" s="8"/>
    </row>
    <row r="3567" spans="1:3" x14ac:dyDescent="0.25">
      <c r="A3567" s="8"/>
      <c r="B3567" s="9"/>
      <c r="C3567" s="8"/>
    </row>
    <row r="3568" spans="1:3" x14ac:dyDescent="0.25">
      <c r="A3568" s="8"/>
      <c r="B3568" s="9"/>
      <c r="C3568" s="8"/>
    </row>
    <row r="3569" spans="1:3" x14ac:dyDescent="0.25">
      <c r="A3569" s="8"/>
      <c r="B3569" s="9"/>
      <c r="C3569" s="8"/>
    </row>
    <row r="3570" spans="1:3" x14ac:dyDescent="0.25">
      <c r="A3570" s="8"/>
      <c r="B3570" s="9"/>
      <c r="C3570" s="8"/>
    </row>
    <row r="3571" spans="1:3" x14ac:dyDescent="0.25">
      <c r="A3571" s="8"/>
      <c r="B3571" s="9"/>
      <c r="C3571" s="8"/>
    </row>
    <row r="3572" spans="1:3" x14ac:dyDescent="0.25">
      <c r="A3572" s="8"/>
      <c r="B3572" s="9"/>
      <c r="C3572" s="8"/>
    </row>
    <row r="3573" spans="1:3" x14ac:dyDescent="0.25">
      <c r="A3573" s="8"/>
      <c r="B3573" s="9"/>
      <c r="C3573" s="8"/>
    </row>
    <row r="3574" spans="1:3" x14ac:dyDescent="0.25">
      <c r="A3574" s="8"/>
      <c r="B3574" s="9"/>
      <c r="C3574" s="8"/>
    </row>
    <row r="3575" spans="1:3" x14ac:dyDescent="0.25">
      <c r="A3575" s="8"/>
      <c r="B3575" s="9"/>
      <c r="C3575" s="8"/>
    </row>
    <row r="3576" spans="1:3" x14ac:dyDescent="0.25">
      <c r="A3576" s="8"/>
      <c r="B3576" s="9"/>
      <c r="C3576" s="8"/>
    </row>
    <row r="3577" spans="1:3" x14ac:dyDescent="0.25">
      <c r="A3577" s="8"/>
      <c r="B3577" s="9"/>
      <c r="C3577" s="8"/>
    </row>
    <row r="3578" spans="1:3" x14ac:dyDescent="0.25">
      <c r="A3578" s="8"/>
      <c r="B3578" s="9"/>
      <c r="C3578" s="8"/>
    </row>
    <row r="3579" spans="1:3" x14ac:dyDescent="0.25">
      <c r="A3579" s="8"/>
      <c r="B3579" s="9"/>
      <c r="C3579" s="8"/>
    </row>
    <row r="3580" spans="1:3" x14ac:dyDescent="0.25">
      <c r="A3580" s="8"/>
      <c r="B3580" s="9"/>
      <c r="C3580" s="8"/>
    </row>
    <row r="3581" spans="1:3" x14ac:dyDescent="0.25">
      <c r="A3581" s="8"/>
      <c r="B3581" s="9"/>
      <c r="C3581" s="8"/>
    </row>
    <row r="3582" spans="1:3" x14ac:dyDescent="0.25">
      <c r="A3582" s="8"/>
      <c r="B3582" s="9"/>
      <c r="C3582" s="8"/>
    </row>
    <row r="3583" spans="1:3" x14ac:dyDescent="0.25">
      <c r="A3583" s="8"/>
      <c r="B3583" s="9"/>
      <c r="C3583" s="8"/>
    </row>
    <row r="3584" spans="1:3" x14ac:dyDescent="0.25">
      <c r="A3584" s="8"/>
      <c r="B3584" s="9"/>
      <c r="C3584" s="8"/>
    </row>
    <row r="3585" spans="1:3" x14ac:dyDescent="0.25">
      <c r="A3585" s="8"/>
      <c r="B3585" s="9"/>
      <c r="C3585" s="8"/>
    </row>
    <row r="3586" spans="1:3" x14ac:dyDescent="0.25">
      <c r="A3586" s="8"/>
      <c r="B3586" s="9"/>
      <c r="C3586" s="8"/>
    </row>
    <row r="3587" spans="1:3" x14ac:dyDescent="0.25">
      <c r="A3587" s="8"/>
      <c r="B3587" s="9"/>
      <c r="C3587" s="8"/>
    </row>
    <row r="3588" spans="1:3" x14ac:dyDescent="0.25">
      <c r="A3588" s="8"/>
      <c r="B3588" s="9"/>
      <c r="C3588" s="8"/>
    </row>
    <row r="3589" spans="1:3" x14ac:dyDescent="0.25">
      <c r="A3589" s="8"/>
      <c r="B3589" s="9"/>
      <c r="C3589" s="8"/>
    </row>
    <row r="3590" spans="1:3" x14ac:dyDescent="0.25">
      <c r="A3590" s="8"/>
      <c r="B3590" s="9"/>
      <c r="C3590" s="8"/>
    </row>
    <row r="3591" spans="1:3" x14ac:dyDescent="0.25">
      <c r="A3591" s="8"/>
      <c r="B3591" s="9"/>
      <c r="C3591" s="8"/>
    </row>
    <row r="3592" spans="1:3" x14ac:dyDescent="0.25">
      <c r="A3592" s="8"/>
      <c r="B3592" s="9"/>
      <c r="C3592" s="8"/>
    </row>
    <row r="3593" spans="1:3" x14ac:dyDescent="0.25">
      <c r="A3593" s="8"/>
      <c r="B3593" s="9"/>
      <c r="C3593" s="8"/>
    </row>
    <row r="3594" spans="1:3" x14ac:dyDescent="0.25">
      <c r="A3594" s="8"/>
      <c r="B3594" s="9"/>
      <c r="C3594" s="8"/>
    </row>
    <row r="3595" spans="1:3" x14ac:dyDescent="0.25">
      <c r="A3595" s="8"/>
      <c r="B3595" s="9"/>
      <c r="C3595" s="8"/>
    </row>
    <row r="3596" spans="1:3" x14ac:dyDescent="0.25">
      <c r="A3596" s="8"/>
      <c r="B3596" s="9"/>
      <c r="C3596" s="8"/>
    </row>
    <row r="3597" spans="1:3" x14ac:dyDescent="0.25">
      <c r="A3597" s="8"/>
      <c r="B3597" s="9"/>
      <c r="C3597" s="8"/>
    </row>
    <row r="3598" spans="1:3" x14ac:dyDescent="0.25">
      <c r="A3598" s="8"/>
      <c r="B3598" s="9"/>
      <c r="C3598" s="8"/>
    </row>
    <row r="3599" spans="1:3" x14ac:dyDescent="0.25">
      <c r="A3599" s="8"/>
      <c r="B3599" s="9"/>
      <c r="C3599" s="8"/>
    </row>
    <row r="3600" spans="1:3" x14ac:dyDescent="0.25">
      <c r="A3600" s="8"/>
      <c r="B3600" s="9"/>
      <c r="C3600" s="8"/>
    </row>
    <row r="3601" spans="1:3" x14ac:dyDescent="0.25">
      <c r="A3601" s="8"/>
      <c r="B3601" s="9"/>
      <c r="C3601" s="8"/>
    </row>
    <row r="3602" spans="1:3" x14ac:dyDescent="0.25">
      <c r="A3602" s="8"/>
      <c r="B3602" s="9"/>
      <c r="C3602" s="8"/>
    </row>
    <row r="3603" spans="1:3" x14ac:dyDescent="0.25">
      <c r="A3603" s="8"/>
      <c r="B3603" s="9"/>
      <c r="C3603" s="8"/>
    </row>
    <row r="3604" spans="1:3" x14ac:dyDescent="0.25">
      <c r="A3604" s="8"/>
      <c r="B3604" s="9"/>
      <c r="C3604" s="8"/>
    </row>
    <row r="3605" spans="1:3" x14ac:dyDescent="0.25">
      <c r="A3605" s="8"/>
      <c r="B3605" s="9"/>
      <c r="C3605" s="8"/>
    </row>
    <row r="3606" spans="1:3" x14ac:dyDescent="0.25">
      <c r="A3606" s="8"/>
      <c r="B3606" s="9"/>
      <c r="C3606" s="8"/>
    </row>
    <row r="3607" spans="1:3" x14ac:dyDescent="0.25">
      <c r="A3607" s="8"/>
      <c r="B3607" s="9"/>
      <c r="C3607" s="8"/>
    </row>
    <row r="3608" spans="1:3" x14ac:dyDescent="0.25">
      <c r="A3608" s="8"/>
      <c r="B3608" s="9"/>
      <c r="C3608" s="8"/>
    </row>
    <row r="3609" spans="1:3" x14ac:dyDescent="0.25">
      <c r="A3609" s="8"/>
      <c r="B3609" s="9"/>
      <c r="C3609" s="8"/>
    </row>
    <row r="3610" spans="1:3" x14ac:dyDescent="0.25">
      <c r="A3610" s="8"/>
      <c r="B3610" s="9"/>
      <c r="C3610" s="8"/>
    </row>
    <row r="3611" spans="1:3" x14ac:dyDescent="0.25">
      <c r="A3611" s="8"/>
      <c r="B3611" s="9"/>
      <c r="C3611" s="8"/>
    </row>
    <row r="3612" spans="1:3" x14ac:dyDescent="0.25">
      <c r="A3612" s="8"/>
      <c r="B3612" s="9"/>
      <c r="C3612" s="8"/>
    </row>
    <row r="3613" spans="1:3" x14ac:dyDescent="0.25">
      <c r="A3613" s="8"/>
      <c r="B3613" s="9"/>
      <c r="C3613" s="8"/>
    </row>
    <row r="3614" spans="1:3" x14ac:dyDescent="0.25">
      <c r="A3614" s="8"/>
      <c r="B3614" s="9"/>
      <c r="C3614" s="8"/>
    </row>
    <row r="3615" spans="1:3" x14ac:dyDescent="0.25">
      <c r="A3615" s="8"/>
      <c r="B3615" s="9"/>
      <c r="C3615" s="8"/>
    </row>
    <row r="3616" spans="1:3" x14ac:dyDescent="0.25">
      <c r="A3616" s="8"/>
      <c r="B3616" s="9"/>
      <c r="C3616" s="8"/>
    </row>
    <row r="3617" spans="1:3" x14ac:dyDescent="0.25">
      <c r="A3617" s="8"/>
      <c r="B3617" s="9"/>
      <c r="C3617" s="8"/>
    </row>
    <row r="3618" spans="1:3" x14ac:dyDescent="0.25">
      <c r="A3618" s="8"/>
      <c r="B3618" s="9"/>
      <c r="C3618" s="8"/>
    </row>
    <row r="3619" spans="1:3" x14ac:dyDescent="0.25">
      <c r="A3619" s="8"/>
      <c r="B3619" s="9"/>
      <c r="C3619" s="8"/>
    </row>
    <row r="3620" spans="1:3" x14ac:dyDescent="0.25">
      <c r="A3620" s="8"/>
      <c r="B3620" s="9"/>
      <c r="C3620" s="8"/>
    </row>
    <row r="3621" spans="1:3" x14ac:dyDescent="0.25">
      <c r="A3621" s="8"/>
      <c r="B3621" s="9"/>
      <c r="C3621" s="8"/>
    </row>
    <row r="3622" spans="1:3" x14ac:dyDescent="0.25">
      <c r="A3622" s="8"/>
      <c r="B3622" s="9"/>
      <c r="C3622" s="8"/>
    </row>
    <row r="3623" spans="1:3" x14ac:dyDescent="0.25">
      <c r="A3623" s="8"/>
      <c r="B3623" s="9"/>
      <c r="C3623" s="8"/>
    </row>
    <row r="3624" spans="1:3" x14ac:dyDescent="0.25">
      <c r="A3624" s="8"/>
      <c r="B3624" s="9"/>
      <c r="C3624" s="8"/>
    </row>
    <row r="3625" spans="1:3" x14ac:dyDescent="0.25">
      <c r="A3625" s="8"/>
      <c r="B3625" s="9"/>
      <c r="C3625" s="8"/>
    </row>
    <row r="3626" spans="1:3" x14ac:dyDescent="0.25">
      <c r="A3626" s="8"/>
      <c r="B3626" s="9"/>
      <c r="C3626" s="8"/>
    </row>
    <row r="3627" spans="1:3" x14ac:dyDescent="0.25">
      <c r="A3627" s="8"/>
      <c r="B3627" s="9"/>
      <c r="C3627" s="8"/>
    </row>
    <row r="3628" spans="1:3" x14ac:dyDescent="0.25">
      <c r="A3628" s="8"/>
      <c r="B3628" s="9"/>
      <c r="C3628" s="8"/>
    </row>
    <row r="3629" spans="1:3" x14ac:dyDescent="0.25">
      <c r="A3629" s="8"/>
      <c r="B3629" s="9"/>
      <c r="C3629" s="8"/>
    </row>
    <row r="3630" spans="1:3" x14ac:dyDescent="0.25">
      <c r="A3630" s="8"/>
      <c r="B3630" s="9"/>
      <c r="C3630" s="8"/>
    </row>
    <row r="3631" spans="1:3" x14ac:dyDescent="0.25">
      <c r="A3631" s="8"/>
      <c r="B3631" s="9"/>
      <c r="C3631" s="8"/>
    </row>
    <row r="3632" spans="1:3" x14ac:dyDescent="0.25">
      <c r="A3632" s="8"/>
      <c r="B3632" s="9"/>
      <c r="C3632" s="8"/>
    </row>
    <row r="3633" spans="1:3" x14ac:dyDescent="0.25">
      <c r="A3633" s="8"/>
      <c r="B3633" s="9"/>
      <c r="C3633" s="8"/>
    </row>
    <row r="3634" spans="1:3" x14ac:dyDescent="0.25">
      <c r="A3634" s="8"/>
      <c r="B3634" s="9"/>
      <c r="C3634" s="8"/>
    </row>
    <row r="3635" spans="1:3" x14ac:dyDescent="0.25">
      <c r="A3635" s="8"/>
      <c r="B3635" s="9"/>
      <c r="C3635" s="8"/>
    </row>
    <row r="3636" spans="1:3" x14ac:dyDescent="0.25">
      <c r="A3636" s="8"/>
      <c r="B3636" s="9"/>
      <c r="C3636" s="8"/>
    </row>
    <row r="3637" spans="1:3" x14ac:dyDescent="0.25">
      <c r="A3637" s="8"/>
      <c r="B3637" s="9"/>
      <c r="C3637" s="8"/>
    </row>
    <row r="3638" spans="1:3" x14ac:dyDescent="0.25">
      <c r="A3638" s="8"/>
      <c r="B3638" s="9"/>
      <c r="C3638" s="8"/>
    </row>
    <row r="3639" spans="1:3" x14ac:dyDescent="0.25">
      <c r="A3639" s="8"/>
      <c r="B3639" s="9"/>
      <c r="C3639" s="8"/>
    </row>
    <row r="3640" spans="1:3" x14ac:dyDescent="0.25">
      <c r="A3640" s="8"/>
      <c r="B3640" s="9"/>
      <c r="C3640" s="8"/>
    </row>
    <row r="3641" spans="1:3" x14ac:dyDescent="0.25">
      <c r="A3641" s="8"/>
      <c r="B3641" s="9"/>
      <c r="C3641" s="8"/>
    </row>
    <row r="3642" spans="1:3" x14ac:dyDescent="0.25">
      <c r="A3642" s="8"/>
      <c r="B3642" s="9"/>
      <c r="C3642" s="8"/>
    </row>
    <row r="3643" spans="1:3" x14ac:dyDescent="0.25">
      <c r="A3643" s="8"/>
      <c r="B3643" s="9"/>
      <c r="C3643" s="8"/>
    </row>
    <row r="3644" spans="1:3" x14ac:dyDescent="0.25">
      <c r="A3644" s="8"/>
      <c r="B3644" s="9"/>
      <c r="C3644" s="8"/>
    </row>
    <row r="3645" spans="1:3" x14ac:dyDescent="0.25">
      <c r="A3645" s="8"/>
      <c r="B3645" s="9"/>
      <c r="C3645" s="8"/>
    </row>
    <row r="3646" spans="1:3" x14ac:dyDescent="0.25">
      <c r="A3646" s="8"/>
      <c r="B3646" s="9"/>
      <c r="C3646" s="8"/>
    </row>
    <row r="3647" spans="1:3" x14ac:dyDescent="0.25">
      <c r="A3647" s="8"/>
      <c r="B3647" s="9"/>
      <c r="C3647" s="8"/>
    </row>
    <row r="3648" spans="1:3" x14ac:dyDescent="0.25">
      <c r="A3648" s="8"/>
      <c r="B3648" s="9"/>
      <c r="C3648" s="8"/>
    </row>
    <row r="3649" spans="1:3" x14ac:dyDescent="0.25">
      <c r="A3649" s="8"/>
      <c r="B3649" s="9"/>
      <c r="C3649" s="8"/>
    </row>
    <row r="3650" spans="1:3" x14ac:dyDescent="0.25">
      <c r="A3650" s="8"/>
      <c r="B3650" s="9"/>
      <c r="C3650" s="8"/>
    </row>
    <row r="3651" spans="1:3" x14ac:dyDescent="0.25">
      <c r="A3651" s="8"/>
      <c r="B3651" s="9"/>
      <c r="C3651" s="8"/>
    </row>
    <row r="3652" spans="1:3" x14ac:dyDescent="0.25">
      <c r="A3652" s="8"/>
      <c r="B3652" s="9"/>
      <c r="C3652" s="8"/>
    </row>
    <row r="3653" spans="1:3" x14ac:dyDescent="0.25">
      <c r="A3653" s="8"/>
      <c r="B3653" s="9"/>
      <c r="C3653" s="8"/>
    </row>
    <row r="3654" spans="1:3" x14ac:dyDescent="0.25">
      <c r="A3654" s="8"/>
      <c r="B3654" s="9"/>
      <c r="C3654" s="8"/>
    </row>
    <row r="3655" spans="1:3" x14ac:dyDescent="0.25">
      <c r="A3655" s="8"/>
      <c r="B3655" s="9"/>
      <c r="C3655" s="8"/>
    </row>
    <row r="3656" spans="1:3" x14ac:dyDescent="0.25">
      <c r="A3656" s="8"/>
      <c r="B3656" s="9"/>
      <c r="C3656" s="8"/>
    </row>
    <row r="3657" spans="1:3" x14ac:dyDescent="0.25">
      <c r="A3657" s="8"/>
      <c r="B3657" s="9"/>
      <c r="C3657" s="8"/>
    </row>
    <row r="3658" spans="1:3" x14ac:dyDescent="0.25">
      <c r="A3658" s="8"/>
      <c r="B3658" s="9"/>
      <c r="C3658" s="8"/>
    </row>
    <row r="3659" spans="1:3" x14ac:dyDescent="0.25">
      <c r="A3659" s="8"/>
      <c r="B3659" s="9"/>
      <c r="C3659" s="8"/>
    </row>
    <row r="3660" spans="1:3" x14ac:dyDescent="0.25">
      <c r="A3660" s="8"/>
      <c r="B3660" s="9"/>
      <c r="C3660" s="8"/>
    </row>
    <row r="3661" spans="1:3" x14ac:dyDescent="0.25">
      <c r="A3661" s="8"/>
      <c r="B3661" s="9"/>
      <c r="C3661" s="8"/>
    </row>
    <row r="3662" spans="1:3" x14ac:dyDescent="0.25">
      <c r="A3662" s="8"/>
      <c r="B3662" s="9"/>
      <c r="C3662" s="8"/>
    </row>
    <row r="3663" spans="1:3" x14ac:dyDescent="0.25">
      <c r="A3663" s="8"/>
      <c r="B3663" s="9"/>
      <c r="C3663" s="8"/>
    </row>
    <row r="3664" spans="1:3" x14ac:dyDescent="0.25">
      <c r="A3664" s="8"/>
      <c r="B3664" s="9"/>
      <c r="C3664" s="8"/>
    </row>
    <row r="3665" spans="1:3" x14ac:dyDescent="0.25">
      <c r="A3665" s="8"/>
      <c r="B3665" s="9"/>
      <c r="C3665" s="8"/>
    </row>
    <row r="3666" spans="1:3" x14ac:dyDescent="0.25">
      <c r="A3666" s="8"/>
      <c r="B3666" s="9"/>
      <c r="C3666" s="8"/>
    </row>
    <row r="3667" spans="1:3" x14ac:dyDescent="0.25">
      <c r="A3667" s="8"/>
      <c r="B3667" s="9"/>
      <c r="C3667" s="8"/>
    </row>
    <row r="3668" spans="1:3" x14ac:dyDescent="0.25">
      <c r="A3668" s="8"/>
      <c r="B3668" s="9"/>
      <c r="C3668" s="8"/>
    </row>
    <row r="3669" spans="1:3" x14ac:dyDescent="0.25">
      <c r="A3669" s="8"/>
      <c r="B3669" s="9"/>
      <c r="C3669" s="8"/>
    </row>
    <row r="3670" spans="1:3" x14ac:dyDescent="0.25">
      <c r="A3670" s="8"/>
      <c r="B3670" s="9"/>
      <c r="C3670" s="8"/>
    </row>
    <row r="3671" spans="1:3" x14ac:dyDescent="0.25">
      <c r="A3671" s="8"/>
      <c r="B3671" s="9"/>
      <c r="C3671" s="8"/>
    </row>
    <row r="3672" spans="1:3" x14ac:dyDescent="0.25">
      <c r="A3672" s="8"/>
      <c r="B3672" s="9"/>
      <c r="C3672" s="8"/>
    </row>
    <row r="3673" spans="1:3" x14ac:dyDescent="0.25">
      <c r="A3673" s="8"/>
      <c r="B3673" s="9"/>
      <c r="C3673" s="8"/>
    </row>
    <row r="3674" spans="1:3" x14ac:dyDescent="0.25">
      <c r="A3674" s="8"/>
      <c r="B3674" s="9"/>
      <c r="C3674" s="8"/>
    </row>
    <row r="3675" spans="1:3" x14ac:dyDescent="0.25">
      <c r="A3675" s="8"/>
      <c r="B3675" s="9"/>
      <c r="C3675" s="8"/>
    </row>
    <row r="3676" spans="1:3" x14ac:dyDescent="0.25">
      <c r="A3676" s="8"/>
      <c r="B3676" s="9"/>
      <c r="C3676" s="8"/>
    </row>
    <row r="3677" spans="1:3" x14ac:dyDescent="0.25">
      <c r="A3677" s="8"/>
      <c r="B3677" s="9"/>
      <c r="C3677" s="8"/>
    </row>
    <row r="3678" spans="1:3" x14ac:dyDescent="0.25">
      <c r="A3678" s="8"/>
      <c r="B3678" s="9"/>
      <c r="C3678" s="8"/>
    </row>
    <row r="3679" spans="1:3" x14ac:dyDescent="0.25">
      <c r="A3679" s="8"/>
      <c r="B3679" s="9"/>
      <c r="C3679" s="8"/>
    </row>
    <row r="3680" spans="1:3" x14ac:dyDescent="0.25">
      <c r="A3680" s="8"/>
      <c r="B3680" s="9"/>
      <c r="C3680" s="8"/>
    </row>
    <row r="3681" spans="1:3" x14ac:dyDescent="0.25">
      <c r="A3681" s="8"/>
      <c r="B3681" s="9"/>
      <c r="C3681" s="8"/>
    </row>
    <row r="3682" spans="1:3" x14ac:dyDescent="0.25">
      <c r="A3682" s="8"/>
      <c r="B3682" s="9"/>
      <c r="C3682" s="8"/>
    </row>
    <row r="3683" spans="1:3" x14ac:dyDescent="0.25">
      <c r="A3683" s="8"/>
      <c r="B3683" s="9"/>
      <c r="C3683" s="8"/>
    </row>
    <row r="3684" spans="1:3" x14ac:dyDescent="0.25">
      <c r="A3684" s="8"/>
      <c r="B3684" s="9"/>
      <c r="C3684" s="8"/>
    </row>
    <row r="3685" spans="1:3" x14ac:dyDescent="0.25">
      <c r="A3685" s="8"/>
      <c r="B3685" s="9"/>
      <c r="C3685" s="8"/>
    </row>
    <row r="3686" spans="1:3" x14ac:dyDescent="0.25">
      <c r="A3686" s="8"/>
      <c r="B3686" s="9"/>
      <c r="C3686" s="8"/>
    </row>
    <row r="3687" spans="1:3" x14ac:dyDescent="0.25">
      <c r="A3687" s="8"/>
      <c r="B3687" s="9"/>
      <c r="C3687" s="8"/>
    </row>
    <row r="3688" spans="1:3" x14ac:dyDescent="0.25">
      <c r="A3688" s="8"/>
      <c r="B3688" s="9"/>
      <c r="C3688" s="8"/>
    </row>
    <row r="3689" spans="1:3" x14ac:dyDescent="0.25">
      <c r="A3689" s="8"/>
      <c r="B3689" s="9"/>
      <c r="C3689" s="8"/>
    </row>
    <row r="3690" spans="1:3" x14ac:dyDescent="0.25">
      <c r="A3690" s="8"/>
      <c r="B3690" s="9"/>
      <c r="C3690" s="8"/>
    </row>
    <row r="3691" spans="1:3" x14ac:dyDescent="0.25">
      <c r="A3691" s="8"/>
      <c r="B3691" s="9"/>
      <c r="C3691" s="8"/>
    </row>
    <row r="3692" spans="1:3" x14ac:dyDescent="0.25">
      <c r="A3692" s="8"/>
      <c r="B3692" s="9"/>
      <c r="C3692" s="8"/>
    </row>
    <row r="3693" spans="1:3" x14ac:dyDescent="0.25">
      <c r="A3693" s="8"/>
      <c r="B3693" s="9"/>
      <c r="C3693" s="8"/>
    </row>
    <row r="3694" spans="1:3" x14ac:dyDescent="0.25">
      <c r="A3694" s="8"/>
      <c r="B3694" s="9"/>
      <c r="C3694" s="8"/>
    </row>
    <row r="3695" spans="1:3" x14ac:dyDescent="0.25">
      <c r="A3695" s="8"/>
      <c r="B3695" s="9"/>
      <c r="C3695" s="8"/>
    </row>
    <row r="3696" spans="1:3" x14ac:dyDescent="0.25">
      <c r="A3696" s="8"/>
      <c r="B3696" s="9"/>
      <c r="C3696" s="8"/>
    </row>
    <row r="3697" spans="1:3" x14ac:dyDescent="0.25">
      <c r="A3697" s="8"/>
      <c r="B3697" s="9"/>
      <c r="C3697" s="8"/>
    </row>
    <row r="3698" spans="1:3" x14ac:dyDescent="0.25">
      <c r="A3698" s="8"/>
      <c r="B3698" s="9"/>
      <c r="C3698" s="8"/>
    </row>
    <row r="3699" spans="1:3" x14ac:dyDescent="0.25">
      <c r="A3699" s="8"/>
      <c r="B3699" s="9"/>
      <c r="C3699" s="8"/>
    </row>
    <row r="3700" spans="1:3" x14ac:dyDescent="0.25">
      <c r="A3700" s="8"/>
      <c r="B3700" s="9"/>
      <c r="C3700" s="8"/>
    </row>
    <row r="3701" spans="1:3" x14ac:dyDescent="0.25">
      <c r="A3701" s="8"/>
      <c r="B3701" s="9"/>
      <c r="C3701" s="8"/>
    </row>
    <row r="3702" spans="1:3" x14ac:dyDescent="0.25">
      <c r="A3702" s="8"/>
      <c r="B3702" s="9"/>
      <c r="C3702" s="8"/>
    </row>
    <row r="3703" spans="1:3" x14ac:dyDescent="0.25">
      <c r="A3703" s="8"/>
      <c r="B3703" s="9"/>
      <c r="C3703" s="8"/>
    </row>
    <row r="3704" spans="1:3" x14ac:dyDescent="0.25">
      <c r="A3704" s="8"/>
      <c r="B3704" s="9"/>
      <c r="C3704" s="8"/>
    </row>
    <row r="3705" spans="1:3" x14ac:dyDescent="0.25">
      <c r="A3705" s="8"/>
      <c r="B3705" s="9"/>
      <c r="C3705" s="8"/>
    </row>
    <row r="3706" spans="1:3" x14ac:dyDescent="0.25">
      <c r="A3706" s="8"/>
      <c r="B3706" s="9"/>
      <c r="C3706" s="8"/>
    </row>
    <row r="3707" spans="1:3" x14ac:dyDescent="0.25">
      <c r="A3707" s="8"/>
      <c r="B3707" s="9"/>
      <c r="C3707" s="8"/>
    </row>
    <row r="3708" spans="1:3" x14ac:dyDescent="0.25">
      <c r="A3708" s="8"/>
      <c r="B3708" s="9"/>
      <c r="C3708" s="8"/>
    </row>
    <row r="3709" spans="1:3" x14ac:dyDescent="0.25">
      <c r="A3709" s="8"/>
      <c r="B3709" s="9"/>
      <c r="C3709" s="8"/>
    </row>
    <row r="3710" spans="1:3" x14ac:dyDescent="0.25">
      <c r="A3710" s="8"/>
      <c r="B3710" s="9"/>
      <c r="C3710" s="8"/>
    </row>
    <row r="3711" spans="1:3" x14ac:dyDescent="0.25">
      <c r="A3711" s="8"/>
      <c r="B3711" s="9"/>
      <c r="C3711" s="8"/>
    </row>
    <row r="3712" spans="1:3" x14ac:dyDescent="0.25">
      <c r="A3712" s="8"/>
      <c r="B3712" s="9"/>
      <c r="C3712" s="8"/>
    </row>
    <row r="3713" spans="1:3" x14ac:dyDescent="0.25">
      <c r="A3713" s="8"/>
      <c r="B3713" s="9"/>
      <c r="C3713" s="8"/>
    </row>
    <row r="3714" spans="1:3" x14ac:dyDescent="0.25">
      <c r="A3714" s="8"/>
      <c r="B3714" s="9"/>
      <c r="C3714" s="8"/>
    </row>
    <row r="3715" spans="1:3" x14ac:dyDescent="0.25">
      <c r="A3715" s="8"/>
      <c r="B3715" s="9"/>
      <c r="C3715" s="8"/>
    </row>
    <row r="3716" spans="1:3" x14ac:dyDescent="0.25">
      <c r="A3716" s="8"/>
      <c r="B3716" s="9"/>
      <c r="C3716" s="8"/>
    </row>
    <row r="3717" spans="1:3" x14ac:dyDescent="0.25">
      <c r="A3717" s="8"/>
      <c r="B3717" s="9"/>
      <c r="C3717" s="8"/>
    </row>
    <row r="3718" spans="1:3" x14ac:dyDescent="0.25">
      <c r="A3718" s="8"/>
      <c r="B3718" s="9"/>
      <c r="C3718" s="8"/>
    </row>
    <row r="3719" spans="1:3" x14ac:dyDescent="0.25">
      <c r="A3719" s="8"/>
      <c r="B3719" s="9"/>
      <c r="C3719" s="8"/>
    </row>
    <row r="3720" spans="1:3" x14ac:dyDescent="0.25">
      <c r="A3720" s="8"/>
      <c r="B3720" s="9"/>
      <c r="C3720" s="8"/>
    </row>
    <row r="3721" spans="1:3" x14ac:dyDescent="0.25">
      <c r="A3721" s="8"/>
      <c r="B3721" s="9"/>
      <c r="C3721" s="8"/>
    </row>
    <row r="3722" spans="1:3" x14ac:dyDescent="0.25">
      <c r="A3722" s="8"/>
      <c r="B3722" s="9"/>
      <c r="C3722" s="8"/>
    </row>
    <row r="3723" spans="1:3" x14ac:dyDescent="0.25">
      <c r="A3723" s="8"/>
      <c r="B3723" s="9"/>
      <c r="C3723" s="8"/>
    </row>
    <row r="3724" spans="1:3" x14ac:dyDescent="0.25">
      <c r="A3724" s="8"/>
      <c r="B3724" s="9"/>
      <c r="C3724" s="8"/>
    </row>
    <row r="3725" spans="1:3" x14ac:dyDescent="0.25">
      <c r="A3725" s="8"/>
      <c r="B3725" s="9"/>
      <c r="C3725" s="8"/>
    </row>
    <row r="3726" spans="1:3" x14ac:dyDescent="0.25">
      <c r="A3726" s="8"/>
      <c r="B3726" s="9"/>
      <c r="C3726" s="8"/>
    </row>
    <row r="3727" spans="1:3" x14ac:dyDescent="0.25">
      <c r="A3727" s="8"/>
      <c r="B3727" s="9"/>
      <c r="C3727" s="8"/>
    </row>
    <row r="3728" spans="1:3" x14ac:dyDescent="0.25">
      <c r="A3728" s="8"/>
      <c r="B3728" s="9"/>
      <c r="C3728" s="8"/>
    </row>
    <row r="3729" spans="1:3" x14ac:dyDescent="0.25">
      <c r="A3729" s="8"/>
      <c r="B3729" s="9"/>
      <c r="C3729" s="8"/>
    </row>
    <row r="3730" spans="1:3" x14ac:dyDescent="0.25">
      <c r="A3730" s="8"/>
      <c r="B3730" s="9"/>
      <c r="C3730" s="8"/>
    </row>
    <row r="3731" spans="1:3" x14ac:dyDescent="0.25">
      <c r="A3731" s="8"/>
      <c r="B3731" s="9"/>
      <c r="C3731" s="8"/>
    </row>
    <row r="3732" spans="1:3" x14ac:dyDescent="0.25">
      <c r="A3732" s="8"/>
      <c r="B3732" s="9"/>
      <c r="C3732" s="8"/>
    </row>
    <row r="3733" spans="1:3" x14ac:dyDescent="0.25">
      <c r="A3733" s="8"/>
      <c r="B3733" s="9"/>
      <c r="C3733" s="8"/>
    </row>
    <row r="3734" spans="1:3" x14ac:dyDescent="0.25">
      <c r="A3734" s="8"/>
      <c r="B3734" s="9"/>
      <c r="C3734" s="8"/>
    </row>
    <row r="3735" spans="1:3" x14ac:dyDescent="0.25">
      <c r="A3735" s="8"/>
      <c r="B3735" s="9"/>
      <c r="C3735" s="8"/>
    </row>
    <row r="3736" spans="1:3" x14ac:dyDescent="0.25">
      <c r="A3736" s="8"/>
      <c r="B3736" s="9"/>
      <c r="C3736" s="8"/>
    </row>
    <row r="3737" spans="1:3" x14ac:dyDescent="0.25">
      <c r="A3737" s="8"/>
      <c r="B3737" s="9"/>
      <c r="C3737" s="8"/>
    </row>
    <row r="3738" spans="1:3" x14ac:dyDescent="0.25">
      <c r="A3738" s="8"/>
      <c r="B3738" s="9"/>
      <c r="C3738" s="8"/>
    </row>
    <row r="3739" spans="1:3" x14ac:dyDescent="0.25">
      <c r="A3739" s="8"/>
      <c r="B3739" s="9"/>
      <c r="C3739" s="8"/>
    </row>
    <row r="3740" spans="1:3" x14ac:dyDescent="0.25">
      <c r="A3740" s="8"/>
      <c r="B3740" s="9"/>
      <c r="C3740" s="8"/>
    </row>
    <row r="3741" spans="1:3" x14ac:dyDescent="0.25">
      <c r="A3741" s="8"/>
      <c r="B3741" s="9"/>
      <c r="C3741" s="8"/>
    </row>
    <row r="3742" spans="1:3" x14ac:dyDescent="0.25">
      <c r="A3742" s="8"/>
      <c r="B3742" s="9"/>
      <c r="C3742" s="8"/>
    </row>
    <row r="3743" spans="1:3" x14ac:dyDescent="0.25">
      <c r="A3743" s="8"/>
      <c r="B3743" s="9"/>
      <c r="C3743" s="8"/>
    </row>
    <row r="3744" spans="1:3" x14ac:dyDescent="0.25">
      <c r="A3744" s="8"/>
      <c r="B3744" s="9"/>
      <c r="C3744" s="8"/>
    </row>
    <row r="3745" spans="1:3" x14ac:dyDescent="0.25">
      <c r="A3745" s="8"/>
      <c r="B3745" s="9"/>
      <c r="C3745" s="8"/>
    </row>
    <row r="3746" spans="1:3" x14ac:dyDescent="0.25">
      <c r="A3746" s="8"/>
      <c r="B3746" s="9"/>
      <c r="C3746" s="8"/>
    </row>
    <row r="3747" spans="1:3" x14ac:dyDescent="0.25">
      <c r="A3747" s="8"/>
      <c r="B3747" s="9"/>
      <c r="C3747" s="8"/>
    </row>
    <row r="3748" spans="1:3" x14ac:dyDescent="0.25">
      <c r="A3748" s="8"/>
      <c r="B3748" s="9"/>
      <c r="C3748" s="8"/>
    </row>
    <row r="3749" spans="1:3" x14ac:dyDescent="0.25">
      <c r="A3749" s="8"/>
      <c r="B3749" s="9"/>
      <c r="C3749" s="8"/>
    </row>
    <row r="3750" spans="1:3" x14ac:dyDescent="0.25">
      <c r="A3750" s="8"/>
      <c r="B3750" s="9"/>
      <c r="C3750" s="8"/>
    </row>
    <row r="3751" spans="1:3" x14ac:dyDescent="0.25">
      <c r="A3751" s="8"/>
      <c r="B3751" s="9"/>
      <c r="C3751" s="8"/>
    </row>
    <row r="3752" spans="1:3" x14ac:dyDescent="0.25">
      <c r="A3752" s="8"/>
      <c r="B3752" s="9"/>
      <c r="C3752" s="8"/>
    </row>
    <row r="3753" spans="1:3" x14ac:dyDescent="0.25">
      <c r="A3753" s="8"/>
      <c r="B3753" s="9"/>
      <c r="C3753" s="8"/>
    </row>
    <row r="3754" spans="1:3" x14ac:dyDescent="0.25">
      <c r="A3754" s="8"/>
      <c r="B3754" s="9"/>
      <c r="C3754" s="8"/>
    </row>
    <row r="3755" spans="1:3" x14ac:dyDescent="0.25">
      <c r="A3755" s="8"/>
      <c r="B3755" s="9"/>
      <c r="C3755" s="8"/>
    </row>
    <row r="3756" spans="1:3" x14ac:dyDescent="0.25">
      <c r="A3756" s="8"/>
      <c r="B3756" s="9"/>
      <c r="C3756" s="8"/>
    </row>
    <row r="3757" spans="1:3" x14ac:dyDescent="0.25">
      <c r="A3757" s="8"/>
      <c r="B3757" s="9"/>
      <c r="C3757" s="8"/>
    </row>
    <row r="3758" spans="1:3" x14ac:dyDescent="0.25">
      <c r="A3758" s="8"/>
      <c r="B3758" s="9"/>
      <c r="C3758" s="8"/>
    </row>
    <row r="3759" spans="1:3" x14ac:dyDescent="0.25">
      <c r="A3759" s="8"/>
      <c r="B3759" s="9"/>
      <c r="C3759" s="8"/>
    </row>
    <row r="3760" spans="1:3" x14ac:dyDescent="0.25">
      <c r="A3760" s="8"/>
      <c r="B3760" s="9"/>
      <c r="C3760" s="8"/>
    </row>
    <row r="3761" spans="1:3" x14ac:dyDescent="0.25">
      <c r="A3761" s="8"/>
      <c r="B3761" s="9"/>
      <c r="C3761" s="8"/>
    </row>
    <row r="3762" spans="1:3" x14ac:dyDescent="0.25">
      <c r="A3762" s="8"/>
      <c r="B3762" s="9"/>
      <c r="C3762" s="8"/>
    </row>
    <row r="3763" spans="1:3" x14ac:dyDescent="0.25">
      <c r="A3763" s="8"/>
      <c r="B3763" s="9"/>
      <c r="C3763" s="8"/>
    </row>
    <row r="3764" spans="1:3" x14ac:dyDescent="0.25">
      <c r="A3764" s="8"/>
      <c r="B3764" s="9"/>
      <c r="C3764" s="8"/>
    </row>
    <row r="3765" spans="1:3" x14ac:dyDescent="0.25">
      <c r="A3765" s="8"/>
      <c r="B3765" s="9"/>
      <c r="C3765" s="8"/>
    </row>
    <row r="3766" spans="1:3" x14ac:dyDescent="0.25">
      <c r="A3766" s="8"/>
      <c r="B3766" s="9"/>
      <c r="C3766" s="8"/>
    </row>
    <row r="3767" spans="1:3" x14ac:dyDescent="0.25">
      <c r="A3767" s="8"/>
      <c r="B3767" s="9"/>
      <c r="C3767" s="8"/>
    </row>
    <row r="3768" spans="1:3" x14ac:dyDescent="0.25">
      <c r="A3768" s="8"/>
      <c r="B3768" s="9"/>
      <c r="C3768" s="8"/>
    </row>
    <row r="3769" spans="1:3" x14ac:dyDescent="0.25">
      <c r="A3769" s="8"/>
      <c r="B3769" s="9"/>
      <c r="C3769" s="8"/>
    </row>
    <row r="3770" spans="1:3" x14ac:dyDescent="0.25">
      <c r="A3770" s="8"/>
      <c r="B3770" s="9"/>
      <c r="C3770" s="8"/>
    </row>
    <row r="3771" spans="1:3" x14ac:dyDescent="0.25">
      <c r="A3771" s="8"/>
      <c r="B3771" s="9"/>
      <c r="C3771" s="8"/>
    </row>
    <row r="3772" spans="1:3" x14ac:dyDescent="0.25">
      <c r="A3772" s="8"/>
      <c r="B3772" s="9"/>
      <c r="C3772" s="8"/>
    </row>
    <row r="3773" spans="1:3" x14ac:dyDescent="0.25">
      <c r="A3773" s="8"/>
      <c r="B3773" s="9"/>
      <c r="C3773" s="8"/>
    </row>
    <row r="3774" spans="1:3" x14ac:dyDescent="0.25">
      <c r="A3774" s="8"/>
      <c r="B3774" s="9"/>
      <c r="C3774" s="8"/>
    </row>
    <row r="3775" spans="1:3" x14ac:dyDescent="0.25">
      <c r="A3775" s="8"/>
      <c r="B3775" s="9"/>
      <c r="C3775" s="8"/>
    </row>
    <row r="3776" spans="1:3" x14ac:dyDescent="0.25">
      <c r="A3776" s="8"/>
      <c r="B3776" s="9"/>
      <c r="C3776" s="8"/>
    </row>
    <row r="3777" spans="1:3" x14ac:dyDescent="0.25">
      <c r="A3777" s="8"/>
      <c r="B3777" s="9"/>
      <c r="C3777" s="8"/>
    </row>
    <row r="3778" spans="1:3" x14ac:dyDescent="0.25">
      <c r="A3778" s="8"/>
      <c r="B3778" s="9"/>
      <c r="C3778" s="8"/>
    </row>
    <row r="3779" spans="1:3" x14ac:dyDescent="0.25">
      <c r="A3779" s="8"/>
      <c r="B3779" s="9"/>
      <c r="C3779" s="8"/>
    </row>
    <row r="3780" spans="1:3" x14ac:dyDescent="0.25">
      <c r="A3780" s="8"/>
      <c r="B3780" s="9"/>
      <c r="C3780" s="8"/>
    </row>
    <row r="3781" spans="1:3" x14ac:dyDescent="0.25">
      <c r="A3781" s="8"/>
      <c r="B3781" s="9"/>
      <c r="C3781" s="8"/>
    </row>
    <row r="3782" spans="1:3" x14ac:dyDescent="0.25">
      <c r="A3782" s="8"/>
      <c r="B3782" s="9"/>
      <c r="C3782" s="8"/>
    </row>
    <row r="3783" spans="1:3" x14ac:dyDescent="0.25">
      <c r="A3783" s="8"/>
      <c r="B3783" s="9"/>
      <c r="C3783" s="8"/>
    </row>
    <row r="3784" spans="1:3" x14ac:dyDescent="0.25">
      <c r="A3784" s="8"/>
      <c r="B3784" s="9"/>
      <c r="C3784" s="8"/>
    </row>
    <row r="3785" spans="1:3" x14ac:dyDescent="0.25">
      <c r="A3785" s="8"/>
      <c r="B3785" s="9"/>
      <c r="C3785" s="8"/>
    </row>
    <row r="3786" spans="1:3" x14ac:dyDescent="0.25">
      <c r="A3786" s="8"/>
      <c r="B3786" s="9"/>
      <c r="C3786" s="8"/>
    </row>
    <row r="3787" spans="1:3" x14ac:dyDescent="0.25">
      <c r="A3787" s="8"/>
      <c r="B3787" s="9"/>
      <c r="C3787" s="8"/>
    </row>
    <row r="3788" spans="1:3" x14ac:dyDescent="0.25">
      <c r="A3788" s="8"/>
      <c r="B3788" s="9"/>
      <c r="C3788" s="8"/>
    </row>
    <row r="3789" spans="1:3" x14ac:dyDescent="0.25">
      <c r="A3789" s="8"/>
      <c r="B3789" s="9"/>
      <c r="C3789" s="8"/>
    </row>
    <row r="3790" spans="1:3" x14ac:dyDescent="0.25">
      <c r="A3790" s="8"/>
      <c r="B3790" s="9"/>
      <c r="C3790" s="8"/>
    </row>
    <row r="3791" spans="1:3" x14ac:dyDescent="0.25">
      <c r="A3791" s="8"/>
      <c r="B3791" s="9"/>
      <c r="C3791" s="8"/>
    </row>
    <row r="3792" spans="1:3" x14ac:dyDescent="0.25">
      <c r="A3792" s="8"/>
      <c r="B3792" s="9"/>
      <c r="C3792" s="8"/>
    </row>
    <row r="3793" spans="1:3" x14ac:dyDescent="0.25">
      <c r="A3793" s="8"/>
      <c r="B3793" s="9"/>
      <c r="C3793" s="8"/>
    </row>
    <row r="3794" spans="1:3" x14ac:dyDescent="0.25">
      <c r="A3794" s="8"/>
      <c r="B3794" s="9"/>
      <c r="C3794" s="8"/>
    </row>
    <row r="3795" spans="1:3" x14ac:dyDescent="0.25">
      <c r="A3795" s="8"/>
      <c r="B3795" s="9"/>
      <c r="C3795" s="8"/>
    </row>
    <row r="3796" spans="1:3" x14ac:dyDescent="0.25">
      <c r="A3796" s="8"/>
      <c r="B3796" s="9"/>
      <c r="C3796" s="8"/>
    </row>
    <row r="3797" spans="1:3" x14ac:dyDescent="0.25">
      <c r="A3797" s="8"/>
      <c r="B3797" s="9"/>
      <c r="C3797" s="8"/>
    </row>
    <row r="3798" spans="1:3" x14ac:dyDescent="0.25">
      <c r="A3798" s="8"/>
      <c r="B3798" s="9"/>
      <c r="C3798" s="8"/>
    </row>
    <row r="3799" spans="1:3" x14ac:dyDescent="0.25">
      <c r="A3799" s="8"/>
      <c r="B3799" s="9"/>
      <c r="C3799" s="8"/>
    </row>
    <row r="3800" spans="1:3" x14ac:dyDescent="0.25">
      <c r="A3800" s="8"/>
      <c r="B3800" s="9"/>
      <c r="C3800" s="8"/>
    </row>
    <row r="3801" spans="1:3" x14ac:dyDescent="0.25">
      <c r="A3801" s="8"/>
      <c r="B3801" s="9"/>
      <c r="C3801" s="8"/>
    </row>
    <row r="3802" spans="1:3" x14ac:dyDescent="0.25">
      <c r="A3802" s="8"/>
      <c r="B3802" s="9"/>
      <c r="C3802" s="8"/>
    </row>
    <row r="3803" spans="1:3" x14ac:dyDescent="0.25">
      <c r="A3803" s="8"/>
      <c r="B3803" s="9"/>
      <c r="C3803" s="8"/>
    </row>
    <row r="3804" spans="1:3" x14ac:dyDescent="0.25">
      <c r="A3804" s="8"/>
      <c r="B3804" s="9"/>
      <c r="C3804" s="8"/>
    </row>
    <row r="3805" spans="1:3" x14ac:dyDescent="0.25">
      <c r="A3805" s="8"/>
      <c r="B3805" s="9"/>
      <c r="C3805" s="8"/>
    </row>
    <row r="3806" spans="1:3" x14ac:dyDescent="0.25">
      <c r="A3806" s="8"/>
      <c r="B3806" s="9"/>
      <c r="C3806" s="8"/>
    </row>
    <row r="3807" spans="1:3" x14ac:dyDescent="0.25">
      <c r="A3807" s="8"/>
      <c r="B3807" s="9"/>
      <c r="C3807" s="8"/>
    </row>
    <row r="3808" spans="1:3" x14ac:dyDescent="0.25">
      <c r="A3808" s="8"/>
      <c r="B3808" s="9"/>
      <c r="C3808" s="8"/>
    </row>
    <row r="3809" spans="1:3" x14ac:dyDescent="0.25">
      <c r="A3809" s="8"/>
      <c r="B3809" s="9"/>
      <c r="C3809" s="8"/>
    </row>
    <row r="3810" spans="1:3" x14ac:dyDescent="0.25">
      <c r="A3810" s="8"/>
      <c r="B3810" s="9"/>
      <c r="C3810" s="8"/>
    </row>
    <row r="3811" spans="1:3" x14ac:dyDescent="0.25">
      <c r="A3811" s="8"/>
      <c r="B3811" s="9"/>
      <c r="C3811" s="8"/>
    </row>
    <row r="3812" spans="1:3" x14ac:dyDescent="0.25">
      <c r="A3812" s="8"/>
      <c r="B3812" s="9"/>
      <c r="C3812" s="8"/>
    </row>
    <row r="3813" spans="1:3" x14ac:dyDescent="0.25">
      <c r="A3813" s="8"/>
      <c r="B3813" s="9"/>
      <c r="C3813" s="8"/>
    </row>
    <row r="3814" spans="1:3" x14ac:dyDescent="0.25">
      <c r="A3814" s="8"/>
      <c r="B3814" s="9"/>
      <c r="C3814" s="8"/>
    </row>
    <row r="3815" spans="1:3" x14ac:dyDescent="0.25">
      <c r="A3815" s="8"/>
      <c r="B3815" s="9"/>
      <c r="C3815" s="8"/>
    </row>
    <row r="3816" spans="1:3" x14ac:dyDescent="0.25">
      <c r="A3816" s="8"/>
      <c r="B3816" s="9"/>
      <c r="C3816" s="8"/>
    </row>
    <row r="3817" spans="1:3" x14ac:dyDescent="0.25">
      <c r="A3817" s="8"/>
      <c r="B3817" s="9"/>
      <c r="C3817" s="8"/>
    </row>
    <row r="3818" spans="1:3" x14ac:dyDescent="0.25">
      <c r="A3818" s="8"/>
      <c r="B3818" s="9"/>
      <c r="C3818" s="8"/>
    </row>
    <row r="3819" spans="1:3" x14ac:dyDescent="0.25">
      <c r="A3819" s="8"/>
      <c r="B3819" s="9"/>
      <c r="C3819" s="8"/>
    </row>
    <row r="3820" spans="1:3" x14ac:dyDescent="0.25">
      <c r="A3820" s="8"/>
      <c r="B3820" s="9"/>
      <c r="C3820" s="8"/>
    </row>
    <row r="3821" spans="1:3" x14ac:dyDescent="0.25">
      <c r="A3821" s="8"/>
      <c r="B3821" s="9"/>
      <c r="C3821" s="8"/>
    </row>
    <row r="3822" spans="1:3" x14ac:dyDescent="0.25">
      <c r="A3822" s="8"/>
      <c r="B3822" s="9"/>
      <c r="C3822" s="8"/>
    </row>
    <row r="3823" spans="1:3" x14ac:dyDescent="0.25">
      <c r="A3823" s="8"/>
      <c r="B3823" s="9"/>
      <c r="C3823" s="8"/>
    </row>
    <row r="3824" spans="1:3" x14ac:dyDescent="0.25">
      <c r="A3824" s="8"/>
      <c r="B3824" s="9"/>
      <c r="C3824" s="8"/>
    </row>
    <row r="3825" spans="1:3" x14ac:dyDescent="0.25">
      <c r="A3825" s="8"/>
      <c r="B3825" s="9"/>
      <c r="C3825" s="8"/>
    </row>
    <row r="3826" spans="1:3" x14ac:dyDescent="0.25">
      <c r="A3826" s="8"/>
      <c r="B3826" s="9"/>
      <c r="C3826" s="8"/>
    </row>
    <row r="3827" spans="1:3" x14ac:dyDescent="0.25">
      <c r="A3827" s="8"/>
      <c r="B3827" s="9"/>
      <c r="C3827" s="8"/>
    </row>
    <row r="3828" spans="1:3" x14ac:dyDescent="0.25">
      <c r="A3828" s="8"/>
      <c r="B3828" s="9"/>
      <c r="C3828" s="8"/>
    </row>
    <row r="3829" spans="1:3" x14ac:dyDescent="0.25">
      <c r="A3829" s="8"/>
      <c r="B3829" s="9"/>
      <c r="C3829" s="8"/>
    </row>
    <row r="3830" spans="1:3" x14ac:dyDescent="0.25">
      <c r="A3830" s="8"/>
      <c r="B3830" s="9"/>
      <c r="C3830" s="8"/>
    </row>
    <row r="3831" spans="1:3" x14ac:dyDescent="0.25">
      <c r="A3831" s="8"/>
      <c r="B3831" s="9"/>
      <c r="C3831" s="8"/>
    </row>
    <row r="3832" spans="1:3" x14ac:dyDescent="0.25">
      <c r="A3832" s="8"/>
      <c r="B3832" s="9"/>
      <c r="C3832" s="8"/>
    </row>
    <row r="3833" spans="1:3" x14ac:dyDescent="0.25">
      <c r="A3833" s="8"/>
      <c r="B3833" s="9"/>
      <c r="C3833" s="8"/>
    </row>
    <row r="3834" spans="1:3" x14ac:dyDescent="0.25">
      <c r="A3834" s="8"/>
      <c r="B3834" s="9"/>
      <c r="C3834" s="8"/>
    </row>
    <row r="3835" spans="1:3" x14ac:dyDescent="0.25">
      <c r="A3835" s="8"/>
      <c r="B3835" s="9"/>
      <c r="C3835" s="8"/>
    </row>
    <row r="3836" spans="1:3" x14ac:dyDescent="0.25">
      <c r="A3836" s="8"/>
      <c r="B3836" s="9"/>
      <c r="C3836" s="8"/>
    </row>
    <row r="3837" spans="1:3" x14ac:dyDescent="0.25">
      <c r="A3837" s="8"/>
      <c r="B3837" s="9"/>
      <c r="C3837" s="8"/>
    </row>
    <row r="3838" spans="1:3" x14ac:dyDescent="0.25">
      <c r="A3838" s="8"/>
      <c r="B3838" s="9"/>
      <c r="C3838" s="8"/>
    </row>
    <row r="3839" spans="1:3" x14ac:dyDescent="0.25">
      <c r="A3839" s="8"/>
      <c r="B3839" s="9"/>
      <c r="C3839" s="8"/>
    </row>
    <row r="3840" spans="1:3" x14ac:dyDescent="0.25">
      <c r="A3840" s="8"/>
      <c r="B3840" s="9"/>
      <c r="C3840" s="8"/>
    </row>
    <row r="3841" spans="1:3" x14ac:dyDescent="0.25">
      <c r="A3841" s="8"/>
      <c r="B3841" s="9"/>
      <c r="C3841" s="8"/>
    </row>
    <row r="3842" spans="1:3" x14ac:dyDescent="0.25">
      <c r="A3842" s="8"/>
      <c r="B3842" s="9"/>
      <c r="C3842" s="8"/>
    </row>
    <row r="3843" spans="1:3" x14ac:dyDescent="0.25">
      <c r="A3843" s="8"/>
      <c r="B3843" s="9"/>
      <c r="C3843" s="8"/>
    </row>
    <row r="3844" spans="1:3" x14ac:dyDescent="0.25">
      <c r="A3844" s="8"/>
      <c r="B3844" s="9"/>
      <c r="C3844" s="8"/>
    </row>
    <row r="3845" spans="1:3" x14ac:dyDescent="0.25">
      <c r="A3845" s="8"/>
      <c r="B3845" s="9"/>
      <c r="C3845" s="8"/>
    </row>
    <row r="3846" spans="1:3" x14ac:dyDescent="0.25">
      <c r="A3846" s="8"/>
      <c r="B3846" s="9"/>
      <c r="C3846" s="8"/>
    </row>
    <row r="3847" spans="1:3" x14ac:dyDescent="0.25">
      <c r="A3847" s="8"/>
      <c r="B3847" s="9"/>
      <c r="C3847" s="8"/>
    </row>
    <row r="3848" spans="1:3" x14ac:dyDescent="0.25">
      <c r="A3848" s="8"/>
      <c r="B3848" s="9"/>
      <c r="C3848" s="8"/>
    </row>
    <row r="3849" spans="1:3" x14ac:dyDescent="0.25">
      <c r="A3849" s="8"/>
      <c r="B3849" s="9"/>
      <c r="C3849" s="8"/>
    </row>
    <row r="3850" spans="1:3" x14ac:dyDescent="0.25">
      <c r="A3850" s="8"/>
      <c r="B3850" s="9"/>
      <c r="C3850" s="8"/>
    </row>
    <row r="3851" spans="1:3" x14ac:dyDescent="0.25">
      <c r="A3851" s="8"/>
      <c r="B3851" s="9"/>
      <c r="C3851" s="8"/>
    </row>
    <row r="3852" spans="1:3" x14ac:dyDescent="0.25">
      <c r="A3852" s="8"/>
      <c r="B3852" s="9"/>
      <c r="C3852" s="8"/>
    </row>
    <row r="3853" spans="1:3" x14ac:dyDescent="0.25">
      <c r="A3853" s="8"/>
      <c r="B3853" s="9"/>
      <c r="C3853" s="8"/>
    </row>
    <row r="3854" spans="1:3" x14ac:dyDescent="0.25">
      <c r="A3854" s="8"/>
      <c r="B3854" s="9"/>
      <c r="C3854" s="8"/>
    </row>
    <row r="3855" spans="1:3" x14ac:dyDescent="0.25">
      <c r="A3855" s="8"/>
      <c r="B3855" s="9"/>
      <c r="C3855" s="8"/>
    </row>
    <row r="3856" spans="1:3" x14ac:dyDescent="0.25">
      <c r="A3856" s="8"/>
      <c r="B3856" s="9"/>
      <c r="C3856" s="8"/>
    </row>
    <row r="3857" spans="1:3" x14ac:dyDescent="0.25">
      <c r="A3857" s="8"/>
      <c r="B3857" s="9"/>
      <c r="C3857" s="8"/>
    </row>
    <row r="3858" spans="1:3" x14ac:dyDescent="0.25">
      <c r="A3858" s="8"/>
      <c r="B3858" s="9"/>
      <c r="C3858" s="8"/>
    </row>
    <row r="3859" spans="1:3" x14ac:dyDescent="0.25">
      <c r="A3859" s="8"/>
      <c r="B3859" s="9"/>
      <c r="C3859" s="8"/>
    </row>
    <row r="3860" spans="1:3" x14ac:dyDescent="0.25">
      <c r="A3860" s="8"/>
      <c r="B3860" s="9"/>
      <c r="C3860" s="8"/>
    </row>
    <row r="3861" spans="1:3" x14ac:dyDescent="0.25">
      <c r="A3861" s="8"/>
      <c r="B3861" s="9"/>
      <c r="C3861" s="8"/>
    </row>
    <row r="3862" spans="1:3" x14ac:dyDescent="0.25">
      <c r="A3862" s="8"/>
      <c r="B3862" s="9"/>
      <c r="C3862" s="8"/>
    </row>
    <row r="3863" spans="1:3" x14ac:dyDescent="0.25">
      <c r="A3863" s="8"/>
      <c r="B3863" s="9"/>
      <c r="C3863" s="8"/>
    </row>
    <row r="3864" spans="1:3" x14ac:dyDescent="0.25">
      <c r="A3864" s="8"/>
      <c r="B3864" s="9"/>
      <c r="C3864" s="8"/>
    </row>
    <row r="3865" spans="1:3" x14ac:dyDescent="0.25">
      <c r="A3865" s="8"/>
      <c r="B3865" s="9"/>
      <c r="C3865" s="8"/>
    </row>
    <row r="3866" spans="1:3" x14ac:dyDescent="0.25">
      <c r="A3866" s="8"/>
      <c r="B3866" s="9"/>
      <c r="C3866" s="8"/>
    </row>
    <row r="3867" spans="1:3" x14ac:dyDescent="0.25">
      <c r="A3867" s="8"/>
      <c r="B3867" s="9"/>
      <c r="C3867" s="8"/>
    </row>
    <row r="3868" spans="1:3" x14ac:dyDescent="0.25">
      <c r="A3868" s="8"/>
      <c r="B3868" s="9"/>
      <c r="C3868" s="8"/>
    </row>
    <row r="3869" spans="1:3" x14ac:dyDescent="0.25">
      <c r="A3869" s="8"/>
      <c r="B3869" s="9"/>
      <c r="C3869" s="8"/>
    </row>
    <row r="3870" spans="1:3" x14ac:dyDescent="0.25">
      <c r="A3870" s="8"/>
      <c r="B3870" s="9"/>
      <c r="C3870" s="8"/>
    </row>
    <row r="3871" spans="1:3" x14ac:dyDescent="0.25">
      <c r="A3871" s="8"/>
      <c r="B3871" s="9"/>
      <c r="C3871" s="8"/>
    </row>
    <row r="3872" spans="1:3" x14ac:dyDescent="0.25">
      <c r="A3872" s="8"/>
      <c r="B3872" s="9"/>
      <c r="C3872" s="8"/>
    </row>
    <row r="3873" spans="1:3" x14ac:dyDescent="0.25">
      <c r="A3873" s="8"/>
      <c r="B3873" s="9"/>
      <c r="C3873" s="8"/>
    </row>
    <row r="3874" spans="1:3" x14ac:dyDescent="0.25">
      <c r="A3874" s="8"/>
      <c r="B3874" s="9"/>
      <c r="C3874" s="8"/>
    </row>
    <row r="3875" spans="1:3" x14ac:dyDescent="0.25">
      <c r="A3875" s="8"/>
      <c r="B3875" s="9"/>
      <c r="C3875" s="8"/>
    </row>
    <row r="3876" spans="1:3" x14ac:dyDescent="0.25">
      <c r="A3876" s="8"/>
      <c r="B3876" s="9"/>
      <c r="C3876" s="8"/>
    </row>
    <row r="3877" spans="1:3" x14ac:dyDescent="0.25">
      <c r="A3877" s="8"/>
      <c r="B3877" s="9"/>
      <c r="C3877" s="8"/>
    </row>
    <row r="3878" spans="1:3" x14ac:dyDescent="0.25">
      <c r="A3878" s="8"/>
      <c r="B3878" s="9"/>
      <c r="C3878" s="8"/>
    </row>
    <row r="3879" spans="1:3" x14ac:dyDescent="0.25">
      <c r="A3879" s="8"/>
      <c r="B3879" s="9"/>
      <c r="C3879" s="8"/>
    </row>
    <row r="3880" spans="1:3" x14ac:dyDescent="0.25">
      <c r="A3880" s="8"/>
      <c r="B3880" s="9"/>
      <c r="C3880" s="8"/>
    </row>
    <row r="3881" spans="1:3" x14ac:dyDescent="0.25">
      <c r="A3881" s="8"/>
      <c r="B3881" s="9"/>
      <c r="C3881" s="8"/>
    </row>
    <row r="3882" spans="1:3" x14ac:dyDescent="0.25">
      <c r="A3882" s="8"/>
      <c r="B3882" s="9"/>
      <c r="C3882" s="8"/>
    </row>
    <row r="3883" spans="1:3" x14ac:dyDescent="0.25">
      <c r="A3883" s="8"/>
      <c r="B3883" s="9"/>
      <c r="C3883" s="8"/>
    </row>
    <row r="3884" spans="1:3" x14ac:dyDescent="0.25">
      <c r="A3884" s="8"/>
      <c r="B3884" s="9"/>
      <c r="C3884" s="8"/>
    </row>
    <row r="3885" spans="1:3" x14ac:dyDescent="0.25">
      <c r="A3885" s="8"/>
      <c r="B3885" s="9"/>
      <c r="C3885" s="8"/>
    </row>
    <row r="3886" spans="1:3" x14ac:dyDescent="0.25">
      <c r="A3886" s="8"/>
      <c r="B3886" s="9"/>
      <c r="C3886" s="8"/>
    </row>
    <row r="3887" spans="1:3" x14ac:dyDescent="0.25">
      <c r="A3887" s="8"/>
      <c r="B3887" s="9"/>
      <c r="C3887" s="8"/>
    </row>
    <row r="3888" spans="1:3" x14ac:dyDescent="0.25">
      <c r="A3888" s="8"/>
      <c r="B3888" s="9"/>
      <c r="C3888" s="8"/>
    </row>
    <row r="3889" spans="1:3" x14ac:dyDescent="0.25">
      <c r="A3889" s="8"/>
      <c r="B3889" s="9"/>
      <c r="C3889" s="8"/>
    </row>
    <row r="3890" spans="1:3" x14ac:dyDescent="0.25">
      <c r="A3890" s="8"/>
      <c r="B3890" s="9"/>
      <c r="C3890" s="8"/>
    </row>
    <row r="3891" spans="1:3" x14ac:dyDescent="0.25">
      <c r="A3891" s="8"/>
      <c r="B3891" s="9"/>
      <c r="C3891" s="8"/>
    </row>
    <row r="3892" spans="1:3" x14ac:dyDescent="0.25">
      <c r="A3892" s="8"/>
      <c r="B3892" s="9"/>
      <c r="C3892" s="8"/>
    </row>
    <row r="3893" spans="1:3" x14ac:dyDescent="0.25">
      <c r="A3893" s="8"/>
      <c r="B3893" s="9"/>
      <c r="C3893" s="8"/>
    </row>
    <row r="3894" spans="1:3" x14ac:dyDescent="0.25">
      <c r="A3894" s="8"/>
      <c r="B3894" s="9"/>
      <c r="C3894" s="8"/>
    </row>
    <row r="3895" spans="1:3" x14ac:dyDescent="0.25">
      <c r="A3895" s="8"/>
      <c r="B3895" s="9"/>
      <c r="C3895" s="8"/>
    </row>
    <row r="3896" spans="1:3" x14ac:dyDescent="0.25">
      <c r="A3896" s="8"/>
      <c r="B3896" s="9"/>
      <c r="C3896" s="8"/>
    </row>
    <row r="3897" spans="1:3" x14ac:dyDescent="0.25">
      <c r="A3897" s="8"/>
      <c r="B3897" s="9"/>
      <c r="C3897" s="8"/>
    </row>
    <row r="3898" spans="1:3" x14ac:dyDescent="0.25">
      <c r="A3898" s="8"/>
      <c r="B3898" s="9"/>
      <c r="C3898" s="8"/>
    </row>
    <row r="3899" spans="1:3" x14ac:dyDescent="0.25">
      <c r="A3899" s="8"/>
      <c r="B3899" s="9"/>
      <c r="C3899" s="8"/>
    </row>
    <row r="3900" spans="1:3" x14ac:dyDescent="0.25">
      <c r="A3900" s="8"/>
      <c r="B3900" s="9"/>
      <c r="C3900" s="8"/>
    </row>
    <row r="3901" spans="1:3" x14ac:dyDescent="0.25">
      <c r="A3901" s="8"/>
      <c r="B3901" s="9"/>
      <c r="C3901" s="8"/>
    </row>
    <row r="3902" spans="1:3" x14ac:dyDescent="0.25">
      <c r="A3902" s="8"/>
      <c r="B3902" s="9"/>
      <c r="C3902" s="8"/>
    </row>
    <row r="3903" spans="1:3" x14ac:dyDescent="0.25">
      <c r="A3903" s="8"/>
      <c r="B3903" s="9"/>
      <c r="C3903" s="8"/>
    </row>
    <row r="3904" spans="1:3" x14ac:dyDescent="0.25">
      <c r="A3904" s="8"/>
      <c r="B3904" s="9"/>
      <c r="C3904" s="8"/>
    </row>
    <row r="3905" spans="1:3" x14ac:dyDescent="0.25">
      <c r="A3905" s="8"/>
      <c r="B3905" s="9"/>
      <c r="C3905" s="8"/>
    </row>
    <row r="3906" spans="1:3" x14ac:dyDescent="0.25">
      <c r="A3906" s="8"/>
      <c r="B3906" s="9"/>
      <c r="C3906" s="8"/>
    </row>
    <row r="3907" spans="1:3" x14ac:dyDescent="0.25">
      <c r="A3907" s="8"/>
      <c r="B3907" s="9"/>
      <c r="C3907" s="8"/>
    </row>
    <row r="3908" spans="1:3" x14ac:dyDescent="0.25">
      <c r="A3908" s="8"/>
      <c r="B3908" s="9"/>
      <c r="C3908" s="8"/>
    </row>
    <row r="3909" spans="1:3" x14ac:dyDescent="0.25">
      <c r="A3909" s="8"/>
      <c r="B3909" s="9"/>
      <c r="C3909" s="8"/>
    </row>
    <row r="3910" spans="1:3" x14ac:dyDescent="0.25">
      <c r="A3910" s="8"/>
      <c r="B3910" s="9"/>
      <c r="C3910" s="8"/>
    </row>
    <row r="3911" spans="1:3" x14ac:dyDescent="0.25">
      <c r="A3911" s="8"/>
      <c r="B3911" s="9"/>
      <c r="C3911" s="8"/>
    </row>
    <row r="3912" spans="1:3" x14ac:dyDescent="0.25">
      <c r="A3912" s="8"/>
      <c r="B3912" s="9"/>
      <c r="C3912" s="8"/>
    </row>
    <row r="3913" spans="1:3" x14ac:dyDescent="0.25">
      <c r="A3913" s="8"/>
      <c r="B3913" s="9"/>
      <c r="C3913" s="8"/>
    </row>
    <row r="3914" spans="1:3" x14ac:dyDescent="0.25">
      <c r="A3914" s="8"/>
      <c r="B3914" s="9"/>
      <c r="C3914" s="8"/>
    </row>
    <row r="3915" spans="1:3" x14ac:dyDescent="0.25">
      <c r="A3915" s="8"/>
      <c r="B3915" s="9"/>
      <c r="C3915" s="8"/>
    </row>
    <row r="3916" spans="1:3" x14ac:dyDescent="0.25">
      <c r="A3916" s="8"/>
      <c r="B3916" s="9"/>
      <c r="C3916" s="8"/>
    </row>
    <row r="3917" spans="1:3" x14ac:dyDescent="0.25">
      <c r="A3917" s="8"/>
      <c r="B3917" s="9"/>
      <c r="C3917" s="8"/>
    </row>
    <row r="3918" spans="1:3" x14ac:dyDescent="0.25">
      <c r="A3918" s="8"/>
      <c r="B3918" s="9"/>
      <c r="C3918" s="8"/>
    </row>
    <row r="3919" spans="1:3" x14ac:dyDescent="0.25">
      <c r="A3919" s="8"/>
      <c r="B3919" s="9"/>
      <c r="C3919" s="8"/>
    </row>
    <row r="3920" spans="1:3" x14ac:dyDescent="0.25">
      <c r="A3920" s="8"/>
      <c r="B3920" s="9"/>
      <c r="C3920" s="8"/>
    </row>
    <row r="3921" spans="1:3" x14ac:dyDescent="0.25">
      <c r="A3921" s="8"/>
      <c r="B3921" s="9"/>
      <c r="C3921" s="8"/>
    </row>
    <row r="3922" spans="1:3" x14ac:dyDescent="0.25">
      <c r="A3922" s="8"/>
      <c r="B3922" s="9"/>
      <c r="C3922" s="8"/>
    </row>
    <row r="3923" spans="1:3" x14ac:dyDescent="0.25">
      <c r="A3923" s="8"/>
      <c r="B3923" s="9"/>
      <c r="C3923" s="8"/>
    </row>
    <row r="3924" spans="1:3" x14ac:dyDescent="0.25">
      <c r="A3924" s="8"/>
      <c r="B3924" s="9"/>
      <c r="C3924" s="8"/>
    </row>
    <row r="3925" spans="1:3" x14ac:dyDescent="0.25">
      <c r="A3925" s="8"/>
      <c r="B3925" s="9"/>
      <c r="C3925" s="8"/>
    </row>
    <row r="3926" spans="1:3" x14ac:dyDescent="0.25">
      <c r="A3926" s="8"/>
      <c r="B3926" s="9"/>
      <c r="C3926" s="8"/>
    </row>
    <row r="3927" spans="1:3" x14ac:dyDescent="0.25">
      <c r="A3927" s="8"/>
      <c r="B3927" s="9"/>
      <c r="C3927" s="8"/>
    </row>
    <row r="3928" spans="1:3" x14ac:dyDescent="0.25">
      <c r="A3928" s="8"/>
      <c r="B3928" s="9"/>
      <c r="C3928" s="8"/>
    </row>
    <row r="3929" spans="1:3" x14ac:dyDescent="0.25">
      <c r="A3929" s="8"/>
      <c r="B3929" s="9"/>
      <c r="C3929" s="8"/>
    </row>
    <row r="3930" spans="1:3" x14ac:dyDescent="0.25">
      <c r="A3930" s="8"/>
      <c r="B3930" s="9"/>
      <c r="C3930" s="8"/>
    </row>
    <row r="3931" spans="1:3" x14ac:dyDescent="0.25">
      <c r="A3931" s="8"/>
      <c r="B3931" s="9"/>
      <c r="C3931" s="8"/>
    </row>
    <row r="3932" spans="1:3" x14ac:dyDescent="0.25">
      <c r="A3932" s="8"/>
      <c r="B3932" s="9"/>
      <c r="C3932" s="8"/>
    </row>
    <row r="3933" spans="1:3" x14ac:dyDescent="0.25">
      <c r="A3933" s="8"/>
      <c r="B3933" s="9"/>
      <c r="C3933" s="8"/>
    </row>
    <row r="3934" spans="1:3" x14ac:dyDescent="0.25">
      <c r="A3934" s="8"/>
      <c r="B3934" s="9"/>
      <c r="C3934" s="8"/>
    </row>
    <row r="3935" spans="1:3" x14ac:dyDescent="0.25">
      <c r="A3935" s="8"/>
      <c r="B3935" s="9"/>
      <c r="C3935" s="8"/>
    </row>
    <row r="3936" spans="1:3" x14ac:dyDescent="0.25">
      <c r="A3936" s="8"/>
      <c r="B3936" s="9"/>
      <c r="C3936" s="8"/>
    </row>
    <row r="3937" spans="1:3" x14ac:dyDescent="0.25">
      <c r="A3937" s="8"/>
      <c r="B3937" s="9"/>
      <c r="C3937" s="8"/>
    </row>
    <row r="3938" spans="1:3" x14ac:dyDescent="0.25">
      <c r="A3938" s="8"/>
      <c r="B3938" s="9"/>
      <c r="C3938" s="8"/>
    </row>
    <row r="3939" spans="1:3" x14ac:dyDescent="0.25">
      <c r="A3939" s="8"/>
      <c r="B3939" s="9"/>
      <c r="C3939" s="8"/>
    </row>
    <row r="3940" spans="1:3" x14ac:dyDescent="0.25">
      <c r="A3940" s="8"/>
      <c r="B3940" s="9"/>
      <c r="C3940" s="8"/>
    </row>
    <row r="3941" spans="1:3" x14ac:dyDescent="0.25">
      <c r="A3941" s="8"/>
      <c r="B3941" s="9"/>
      <c r="C3941" s="8"/>
    </row>
    <row r="3942" spans="1:3" x14ac:dyDescent="0.25">
      <c r="A3942" s="8"/>
      <c r="B3942" s="9"/>
      <c r="C3942" s="8"/>
    </row>
    <row r="3943" spans="1:3" x14ac:dyDescent="0.25">
      <c r="A3943" s="8"/>
      <c r="B3943" s="9"/>
      <c r="C3943" s="8"/>
    </row>
    <row r="3944" spans="1:3" x14ac:dyDescent="0.25">
      <c r="A3944" s="8"/>
      <c r="B3944" s="9"/>
      <c r="C3944" s="8"/>
    </row>
    <row r="3945" spans="1:3" x14ac:dyDescent="0.25">
      <c r="A3945" s="8"/>
      <c r="B3945" s="9"/>
      <c r="C3945" s="8"/>
    </row>
    <row r="3946" spans="1:3" x14ac:dyDescent="0.25">
      <c r="A3946" s="8"/>
      <c r="B3946" s="9"/>
      <c r="C3946" s="8"/>
    </row>
    <row r="3947" spans="1:3" x14ac:dyDescent="0.25">
      <c r="A3947" s="8"/>
      <c r="B3947" s="9"/>
      <c r="C3947" s="8"/>
    </row>
    <row r="3948" spans="1:3" x14ac:dyDescent="0.25">
      <c r="A3948" s="8"/>
      <c r="B3948" s="9"/>
      <c r="C3948" s="8"/>
    </row>
    <row r="3949" spans="1:3" x14ac:dyDescent="0.25">
      <c r="A3949" s="8"/>
      <c r="B3949" s="9"/>
      <c r="C3949" s="8"/>
    </row>
    <row r="3950" spans="1:3" x14ac:dyDescent="0.25">
      <c r="A3950" s="8"/>
      <c r="B3950" s="9"/>
      <c r="C3950" s="8"/>
    </row>
    <row r="3951" spans="1:3" x14ac:dyDescent="0.25">
      <c r="A3951" s="8"/>
      <c r="B3951" s="9"/>
      <c r="C3951" s="8"/>
    </row>
    <row r="3952" spans="1:3" x14ac:dyDescent="0.25">
      <c r="A3952" s="8"/>
      <c r="B3952" s="9"/>
      <c r="C3952" s="8"/>
    </row>
    <row r="3953" spans="1:3" x14ac:dyDescent="0.25">
      <c r="A3953" s="8"/>
      <c r="B3953" s="9"/>
      <c r="C3953" s="8"/>
    </row>
    <row r="3954" spans="1:3" x14ac:dyDescent="0.25">
      <c r="A3954" s="8"/>
      <c r="B3954" s="9"/>
      <c r="C3954" s="8"/>
    </row>
    <row r="3955" spans="1:3" x14ac:dyDescent="0.25">
      <c r="A3955" s="8"/>
      <c r="B3955" s="9"/>
      <c r="C3955" s="8"/>
    </row>
    <row r="3956" spans="1:3" x14ac:dyDescent="0.25">
      <c r="A3956" s="8"/>
      <c r="B3956" s="9"/>
      <c r="C3956" s="8"/>
    </row>
    <row r="3957" spans="1:3" x14ac:dyDescent="0.25">
      <c r="A3957" s="8"/>
      <c r="B3957" s="9"/>
      <c r="C3957" s="8"/>
    </row>
    <row r="3958" spans="1:3" x14ac:dyDescent="0.25">
      <c r="A3958" s="8"/>
      <c r="B3958" s="9"/>
      <c r="C3958" s="8"/>
    </row>
    <row r="3959" spans="1:3" x14ac:dyDescent="0.25">
      <c r="A3959" s="8"/>
      <c r="B3959" s="9"/>
      <c r="C3959" s="8"/>
    </row>
    <row r="3960" spans="1:3" x14ac:dyDescent="0.25">
      <c r="A3960" s="8"/>
      <c r="B3960" s="9"/>
      <c r="C3960" s="8"/>
    </row>
    <row r="3961" spans="1:3" x14ac:dyDescent="0.25">
      <c r="A3961" s="8"/>
      <c r="B3961" s="9"/>
      <c r="C3961" s="8"/>
    </row>
    <row r="3962" spans="1:3" x14ac:dyDescent="0.25">
      <c r="A3962" s="8"/>
      <c r="B3962" s="9"/>
      <c r="C3962" s="8"/>
    </row>
    <row r="3963" spans="1:3" x14ac:dyDescent="0.25">
      <c r="A3963" s="8"/>
      <c r="B3963" s="9"/>
      <c r="C3963" s="8"/>
    </row>
    <row r="3964" spans="1:3" x14ac:dyDescent="0.25">
      <c r="A3964" s="8"/>
      <c r="B3964" s="9"/>
      <c r="C3964" s="8"/>
    </row>
    <row r="3965" spans="1:3" x14ac:dyDescent="0.25">
      <c r="A3965" s="8"/>
      <c r="B3965" s="9"/>
      <c r="C3965" s="8"/>
    </row>
    <row r="3966" spans="1:3" x14ac:dyDescent="0.25">
      <c r="A3966" s="8"/>
      <c r="B3966" s="9"/>
      <c r="C3966" s="8"/>
    </row>
    <row r="3967" spans="1:3" x14ac:dyDescent="0.25">
      <c r="A3967" s="8"/>
      <c r="B3967" s="9"/>
      <c r="C3967" s="8"/>
    </row>
    <row r="3968" spans="1:3" x14ac:dyDescent="0.25">
      <c r="A3968" s="8"/>
      <c r="B3968" s="9"/>
      <c r="C3968" s="8"/>
    </row>
    <row r="3969" spans="1:3" x14ac:dyDescent="0.25">
      <c r="A3969" s="8"/>
      <c r="B3969" s="9"/>
      <c r="C3969" s="8"/>
    </row>
    <row r="3970" spans="1:3" x14ac:dyDescent="0.25">
      <c r="A3970" s="8"/>
      <c r="B3970" s="9"/>
      <c r="C3970" s="8"/>
    </row>
    <row r="3971" spans="1:3" x14ac:dyDescent="0.25">
      <c r="A3971" s="8"/>
      <c r="B3971" s="9"/>
      <c r="C3971" s="8"/>
    </row>
    <row r="3972" spans="1:3" x14ac:dyDescent="0.25">
      <c r="A3972" s="8"/>
      <c r="B3972" s="9"/>
      <c r="C3972" s="8"/>
    </row>
    <row r="3973" spans="1:3" x14ac:dyDescent="0.25">
      <c r="A3973" s="8"/>
      <c r="B3973" s="9"/>
      <c r="C3973" s="8"/>
    </row>
    <row r="3974" spans="1:3" x14ac:dyDescent="0.25">
      <c r="A3974" s="8"/>
      <c r="B3974" s="9"/>
      <c r="C3974" s="8"/>
    </row>
    <row r="3975" spans="1:3" x14ac:dyDescent="0.25">
      <c r="A3975" s="8"/>
      <c r="B3975" s="9"/>
      <c r="C3975" s="8"/>
    </row>
    <row r="3976" spans="1:3" x14ac:dyDescent="0.25">
      <c r="A3976" s="8"/>
      <c r="B3976" s="9"/>
      <c r="C3976" s="8"/>
    </row>
    <row r="3977" spans="1:3" x14ac:dyDescent="0.25">
      <c r="A3977" s="8"/>
      <c r="B3977" s="9"/>
      <c r="C3977" s="8"/>
    </row>
    <row r="3978" spans="1:3" x14ac:dyDescent="0.25">
      <c r="A3978" s="8"/>
      <c r="B3978" s="9"/>
      <c r="C3978" s="8"/>
    </row>
    <row r="3979" spans="1:3" x14ac:dyDescent="0.25">
      <c r="A3979" s="8"/>
      <c r="B3979" s="9"/>
      <c r="C3979" s="8"/>
    </row>
    <row r="3980" spans="1:3" x14ac:dyDescent="0.25">
      <c r="A3980" s="8"/>
      <c r="B3980" s="9"/>
      <c r="C3980" s="8"/>
    </row>
    <row r="3981" spans="1:3" x14ac:dyDescent="0.25">
      <c r="A3981" s="8"/>
      <c r="B3981" s="9"/>
      <c r="C3981" s="8"/>
    </row>
    <row r="3982" spans="1:3" x14ac:dyDescent="0.25">
      <c r="A3982" s="8"/>
      <c r="B3982" s="9"/>
      <c r="C3982" s="8"/>
    </row>
    <row r="3983" spans="1:3" x14ac:dyDescent="0.25">
      <c r="A3983" s="8"/>
      <c r="B3983" s="9"/>
      <c r="C3983" s="8"/>
    </row>
    <row r="3984" spans="1:3" x14ac:dyDescent="0.25">
      <c r="A3984" s="8"/>
      <c r="B3984" s="9"/>
      <c r="C3984" s="8"/>
    </row>
    <row r="3985" spans="1:3" x14ac:dyDescent="0.25">
      <c r="A3985" s="8"/>
      <c r="B3985" s="9"/>
      <c r="C3985" s="8"/>
    </row>
    <row r="3986" spans="1:3" x14ac:dyDescent="0.25">
      <c r="A3986" s="8"/>
      <c r="B3986" s="9"/>
      <c r="C3986" s="8"/>
    </row>
    <row r="3987" spans="1:3" x14ac:dyDescent="0.25">
      <c r="A3987" s="8"/>
      <c r="B3987" s="9"/>
      <c r="C3987" s="8"/>
    </row>
    <row r="3988" spans="1:3" x14ac:dyDescent="0.25">
      <c r="A3988" s="8"/>
      <c r="B3988" s="9"/>
      <c r="C3988" s="8"/>
    </row>
    <row r="3989" spans="1:3" x14ac:dyDescent="0.25">
      <c r="A3989" s="8"/>
      <c r="B3989" s="9"/>
      <c r="C3989" s="8"/>
    </row>
    <row r="3990" spans="1:3" x14ac:dyDescent="0.25">
      <c r="A3990" s="8"/>
      <c r="B3990" s="9"/>
      <c r="C3990" s="8"/>
    </row>
    <row r="3991" spans="1:3" x14ac:dyDescent="0.25">
      <c r="A3991" s="8"/>
      <c r="B3991" s="9"/>
      <c r="C3991" s="8"/>
    </row>
    <row r="3992" spans="1:3" x14ac:dyDescent="0.25">
      <c r="A3992" s="8"/>
      <c r="B3992" s="9"/>
      <c r="C3992" s="8"/>
    </row>
    <row r="3993" spans="1:3" x14ac:dyDescent="0.25">
      <c r="A3993" s="8"/>
      <c r="B3993" s="9"/>
      <c r="C3993" s="8"/>
    </row>
    <row r="3994" spans="1:3" x14ac:dyDescent="0.25">
      <c r="A3994" s="8"/>
      <c r="B3994" s="9"/>
      <c r="C3994" s="8"/>
    </row>
    <row r="3995" spans="1:3" x14ac:dyDescent="0.25">
      <c r="A3995" s="8"/>
      <c r="B3995" s="9"/>
      <c r="C3995" s="8"/>
    </row>
    <row r="3996" spans="1:3" x14ac:dyDescent="0.25">
      <c r="A3996" s="8"/>
      <c r="B3996" s="9"/>
      <c r="C3996" s="8"/>
    </row>
    <row r="3997" spans="1:3" x14ac:dyDescent="0.25">
      <c r="A3997" s="8"/>
      <c r="B3997" s="9"/>
      <c r="C3997" s="8"/>
    </row>
    <row r="3998" spans="1:3" x14ac:dyDescent="0.25">
      <c r="A3998" s="8"/>
      <c r="B3998" s="9"/>
      <c r="C3998" s="8"/>
    </row>
    <row r="3999" spans="1:3" x14ac:dyDescent="0.25">
      <c r="A3999" s="8"/>
      <c r="B3999" s="9"/>
      <c r="C3999" s="8"/>
    </row>
    <row r="4000" spans="1:3" x14ac:dyDescent="0.25">
      <c r="A4000" s="8"/>
      <c r="B4000" s="9"/>
      <c r="C4000" s="8"/>
    </row>
    <row r="4001" spans="1:3" x14ac:dyDescent="0.25">
      <c r="A4001" s="8"/>
      <c r="B4001" s="9"/>
      <c r="C4001" s="8"/>
    </row>
    <row r="4002" spans="1:3" x14ac:dyDescent="0.25">
      <c r="A4002" s="8"/>
      <c r="B4002" s="9"/>
      <c r="C4002" s="8"/>
    </row>
    <row r="4003" spans="1:3" x14ac:dyDescent="0.25">
      <c r="A4003" s="8"/>
      <c r="B4003" s="9"/>
      <c r="C4003" s="8"/>
    </row>
    <row r="4004" spans="1:3" x14ac:dyDescent="0.25">
      <c r="A4004" s="8"/>
      <c r="B4004" s="9"/>
      <c r="C4004" s="8"/>
    </row>
    <row r="4005" spans="1:3" x14ac:dyDescent="0.25">
      <c r="A4005" s="8"/>
      <c r="B4005" s="9"/>
      <c r="C4005" s="8"/>
    </row>
    <row r="4006" spans="1:3" x14ac:dyDescent="0.25">
      <c r="A4006" s="8"/>
      <c r="B4006" s="9"/>
      <c r="C4006" s="8"/>
    </row>
    <row r="4007" spans="1:3" x14ac:dyDescent="0.25">
      <c r="A4007" s="8"/>
      <c r="B4007" s="9"/>
      <c r="C4007" s="8"/>
    </row>
    <row r="4008" spans="1:3" x14ac:dyDescent="0.25">
      <c r="A4008" s="8"/>
      <c r="B4008" s="9"/>
      <c r="C4008" s="8"/>
    </row>
    <row r="4009" spans="1:3" x14ac:dyDescent="0.25">
      <c r="A4009" s="8"/>
      <c r="B4009" s="9"/>
      <c r="C4009" s="8"/>
    </row>
    <row r="4010" spans="1:3" x14ac:dyDescent="0.25">
      <c r="A4010" s="8"/>
      <c r="B4010" s="9"/>
      <c r="C4010" s="8"/>
    </row>
    <row r="4011" spans="1:3" x14ac:dyDescent="0.25">
      <c r="A4011" s="8"/>
      <c r="B4011" s="9"/>
      <c r="C4011" s="8"/>
    </row>
    <row r="4012" spans="1:3" x14ac:dyDescent="0.25">
      <c r="A4012" s="8"/>
      <c r="B4012" s="9"/>
      <c r="C4012" s="8"/>
    </row>
    <row r="4013" spans="1:3" x14ac:dyDescent="0.25">
      <c r="A4013" s="8"/>
      <c r="B4013" s="9"/>
      <c r="C4013" s="8"/>
    </row>
    <row r="4014" spans="1:3" x14ac:dyDescent="0.25">
      <c r="A4014" s="8"/>
      <c r="B4014" s="9"/>
      <c r="C4014" s="8"/>
    </row>
    <row r="4015" spans="1:3" x14ac:dyDescent="0.25">
      <c r="A4015" s="8"/>
      <c r="B4015" s="9"/>
      <c r="C4015" s="8"/>
    </row>
    <row r="4016" spans="1:3" x14ac:dyDescent="0.25">
      <c r="A4016" s="8"/>
      <c r="B4016" s="9"/>
      <c r="C4016" s="8"/>
    </row>
    <row r="4017" spans="1:3" x14ac:dyDescent="0.25">
      <c r="A4017" s="8"/>
      <c r="B4017" s="9"/>
      <c r="C4017" s="8"/>
    </row>
    <row r="4018" spans="1:3" x14ac:dyDescent="0.25">
      <c r="A4018" s="8"/>
      <c r="B4018" s="9"/>
      <c r="C4018" s="8"/>
    </row>
    <row r="4019" spans="1:3" x14ac:dyDescent="0.25">
      <c r="A4019" s="8"/>
      <c r="B4019" s="9"/>
      <c r="C4019" s="8"/>
    </row>
    <row r="4020" spans="1:3" x14ac:dyDescent="0.25">
      <c r="A4020" s="8"/>
      <c r="B4020" s="9"/>
      <c r="C4020" s="8"/>
    </row>
    <row r="4021" spans="1:3" x14ac:dyDescent="0.25">
      <c r="A4021" s="8"/>
      <c r="B4021" s="9"/>
      <c r="C4021" s="8"/>
    </row>
    <row r="4022" spans="1:3" x14ac:dyDescent="0.25">
      <c r="A4022" s="8"/>
      <c r="B4022" s="9"/>
      <c r="C4022" s="8"/>
    </row>
    <row r="4023" spans="1:3" x14ac:dyDescent="0.25">
      <c r="A4023" s="8"/>
      <c r="B4023" s="9"/>
      <c r="C4023" s="8"/>
    </row>
    <row r="4024" spans="1:3" x14ac:dyDescent="0.25">
      <c r="A4024" s="8"/>
      <c r="B4024" s="9"/>
      <c r="C4024" s="8"/>
    </row>
    <row r="4025" spans="1:3" x14ac:dyDescent="0.25">
      <c r="A4025" s="8"/>
      <c r="B4025" s="9"/>
      <c r="C4025" s="8"/>
    </row>
    <row r="4026" spans="1:3" x14ac:dyDescent="0.25">
      <c r="A4026" s="8"/>
      <c r="B4026" s="9"/>
      <c r="C4026" s="8"/>
    </row>
    <row r="4027" spans="1:3" x14ac:dyDescent="0.25">
      <c r="A4027" s="8"/>
      <c r="B4027" s="9"/>
      <c r="C4027" s="8"/>
    </row>
    <row r="4028" spans="1:3" x14ac:dyDescent="0.25">
      <c r="A4028" s="8"/>
      <c r="B4028" s="9"/>
      <c r="C4028" s="8"/>
    </row>
    <row r="4029" spans="1:3" x14ac:dyDescent="0.25">
      <c r="A4029" s="8"/>
      <c r="B4029" s="9"/>
      <c r="C4029" s="8"/>
    </row>
    <row r="4030" spans="1:3" x14ac:dyDescent="0.25">
      <c r="A4030" s="8"/>
      <c r="B4030" s="9"/>
      <c r="C4030" s="8"/>
    </row>
    <row r="4031" spans="1:3" x14ac:dyDescent="0.25">
      <c r="A4031" s="8"/>
      <c r="B4031" s="9"/>
      <c r="C4031" s="8"/>
    </row>
    <row r="4032" spans="1:3" x14ac:dyDescent="0.25">
      <c r="A4032" s="8"/>
      <c r="B4032" s="9"/>
      <c r="C4032" s="8"/>
    </row>
    <row r="4033" spans="1:3" x14ac:dyDescent="0.25">
      <c r="A4033" s="8"/>
      <c r="B4033" s="9"/>
      <c r="C4033" s="8"/>
    </row>
    <row r="4034" spans="1:3" x14ac:dyDescent="0.25">
      <c r="A4034" s="8"/>
      <c r="B4034" s="9"/>
      <c r="C4034" s="8"/>
    </row>
    <row r="4035" spans="1:3" x14ac:dyDescent="0.25">
      <c r="A4035" s="8"/>
      <c r="B4035" s="9"/>
      <c r="C4035" s="8"/>
    </row>
    <row r="4036" spans="1:3" x14ac:dyDescent="0.25">
      <c r="A4036" s="8"/>
      <c r="B4036" s="9"/>
      <c r="C4036" s="8"/>
    </row>
    <row r="4037" spans="1:3" x14ac:dyDescent="0.25">
      <c r="A4037" s="8"/>
      <c r="B4037" s="9"/>
      <c r="C4037" s="8"/>
    </row>
    <row r="4038" spans="1:3" x14ac:dyDescent="0.25">
      <c r="A4038" s="8"/>
      <c r="B4038" s="9"/>
      <c r="C4038" s="8"/>
    </row>
    <row r="4039" spans="1:3" x14ac:dyDescent="0.25">
      <c r="A4039" s="8"/>
      <c r="B4039" s="9"/>
      <c r="C4039" s="8"/>
    </row>
    <row r="4040" spans="1:3" x14ac:dyDescent="0.25">
      <c r="A4040" s="8"/>
      <c r="B4040" s="9"/>
      <c r="C4040" s="8"/>
    </row>
    <row r="4041" spans="1:3" x14ac:dyDescent="0.25">
      <c r="A4041" s="8"/>
      <c r="B4041" s="9"/>
      <c r="C4041" s="8"/>
    </row>
    <row r="4042" spans="1:3" x14ac:dyDescent="0.25">
      <c r="A4042" s="8"/>
      <c r="B4042" s="9"/>
      <c r="C4042" s="8"/>
    </row>
    <row r="4043" spans="1:3" x14ac:dyDescent="0.25">
      <c r="A4043" s="8"/>
      <c r="B4043" s="9"/>
      <c r="C4043" s="8"/>
    </row>
    <row r="4044" spans="1:3" x14ac:dyDescent="0.25">
      <c r="A4044" s="8"/>
      <c r="B4044" s="9"/>
      <c r="C4044" s="8"/>
    </row>
    <row r="4045" spans="1:3" x14ac:dyDescent="0.25">
      <c r="A4045" s="8"/>
      <c r="B4045" s="9"/>
      <c r="C4045" s="8"/>
    </row>
    <row r="4046" spans="1:3" x14ac:dyDescent="0.25">
      <c r="A4046" s="8"/>
      <c r="B4046" s="9"/>
      <c r="C4046" s="8"/>
    </row>
    <row r="4047" spans="1:3" x14ac:dyDescent="0.25">
      <c r="A4047" s="8"/>
      <c r="B4047" s="9"/>
      <c r="C4047" s="8"/>
    </row>
    <row r="4048" spans="1:3" x14ac:dyDescent="0.25">
      <c r="A4048" s="8"/>
      <c r="B4048" s="9"/>
      <c r="C4048" s="8"/>
    </row>
    <row r="4049" spans="1:3" x14ac:dyDescent="0.25">
      <c r="A4049" s="8"/>
      <c r="B4049" s="9"/>
      <c r="C4049" s="8"/>
    </row>
    <row r="4050" spans="1:3" x14ac:dyDescent="0.25">
      <c r="A4050" s="8"/>
      <c r="B4050" s="9"/>
      <c r="C4050" s="8"/>
    </row>
    <row r="4051" spans="1:3" x14ac:dyDescent="0.25">
      <c r="A4051" s="8"/>
      <c r="B4051" s="9"/>
      <c r="C4051" s="8"/>
    </row>
    <row r="4052" spans="1:3" x14ac:dyDescent="0.25">
      <c r="A4052" s="8"/>
      <c r="B4052" s="9"/>
      <c r="C4052" s="8"/>
    </row>
    <row r="4053" spans="1:3" x14ac:dyDescent="0.25">
      <c r="A4053" s="8"/>
      <c r="B4053" s="9"/>
      <c r="C4053" s="8"/>
    </row>
    <row r="4054" spans="1:3" x14ac:dyDescent="0.25">
      <c r="A4054" s="8"/>
      <c r="B4054" s="9"/>
      <c r="C4054" s="8"/>
    </row>
    <row r="4055" spans="1:3" x14ac:dyDescent="0.25">
      <c r="A4055" s="8"/>
      <c r="B4055" s="9"/>
      <c r="C4055" s="8"/>
    </row>
    <row r="4056" spans="1:3" x14ac:dyDescent="0.25">
      <c r="A4056" s="8"/>
      <c r="B4056" s="9"/>
      <c r="C4056" s="8"/>
    </row>
    <row r="4057" spans="1:3" x14ac:dyDescent="0.25">
      <c r="A4057" s="8"/>
      <c r="B4057" s="9"/>
      <c r="C4057" s="8"/>
    </row>
    <row r="4058" spans="1:3" x14ac:dyDescent="0.25">
      <c r="A4058" s="8"/>
      <c r="B4058" s="9"/>
      <c r="C4058" s="8"/>
    </row>
    <row r="4059" spans="1:3" x14ac:dyDescent="0.25">
      <c r="A4059" s="8"/>
      <c r="B4059" s="9"/>
      <c r="C4059" s="8"/>
    </row>
    <row r="4060" spans="1:3" x14ac:dyDescent="0.25">
      <c r="A4060" s="8"/>
      <c r="B4060" s="9"/>
      <c r="C4060" s="8"/>
    </row>
    <row r="4061" spans="1:3" x14ac:dyDescent="0.25">
      <c r="A4061" s="8"/>
      <c r="B4061" s="9"/>
      <c r="C4061" s="8"/>
    </row>
    <row r="4062" spans="1:3" x14ac:dyDescent="0.25">
      <c r="A4062" s="8"/>
      <c r="B4062" s="9"/>
      <c r="C4062" s="8"/>
    </row>
    <row r="4063" spans="1:3" x14ac:dyDescent="0.25">
      <c r="A4063" s="8"/>
      <c r="B4063" s="9"/>
      <c r="C4063" s="8"/>
    </row>
    <row r="4064" spans="1:3" x14ac:dyDescent="0.25">
      <c r="A4064" s="8"/>
      <c r="B4064" s="9"/>
      <c r="C4064" s="8"/>
    </row>
    <row r="4065" spans="1:3" x14ac:dyDescent="0.25">
      <c r="A4065" s="8"/>
      <c r="B4065" s="9"/>
      <c r="C4065" s="8"/>
    </row>
    <row r="4066" spans="1:3" x14ac:dyDescent="0.25">
      <c r="A4066" s="8"/>
      <c r="B4066" s="9"/>
      <c r="C4066" s="8"/>
    </row>
    <row r="4067" spans="1:3" x14ac:dyDescent="0.25">
      <c r="A4067" s="8"/>
      <c r="B4067" s="9"/>
      <c r="C4067" s="8"/>
    </row>
    <row r="4068" spans="1:3" x14ac:dyDescent="0.25">
      <c r="A4068" s="8"/>
      <c r="B4068" s="9"/>
      <c r="C4068" s="8"/>
    </row>
    <row r="4069" spans="1:3" x14ac:dyDescent="0.25">
      <c r="A4069" s="8"/>
      <c r="B4069" s="9"/>
      <c r="C4069" s="8"/>
    </row>
    <row r="4070" spans="1:3" x14ac:dyDescent="0.25">
      <c r="A4070" s="8"/>
      <c r="B4070" s="9"/>
      <c r="C4070" s="8"/>
    </row>
    <row r="4071" spans="1:3" x14ac:dyDescent="0.25">
      <c r="A4071" s="8"/>
      <c r="B4071" s="9"/>
      <c r="C4071" s="8"/>
    </row>
    <row r="4072" spans="1:3" x14ac:dyDescent="0.25">
      <c r="A4072" s="8"/>
      <c r="B4072" s="9"/>
      <c r="C4072" s="8"/>
    </row>
    <row r="4073" spans="1:3" x14ac:dyDescent="0.25">
      <c r="A4073" s="8"/>
      <c r="B4073" s="9"/>
      <c r="C4073" s="8"/>
    </row>
    <row r="4074" spans="1:3" x14ac:dyDescent="0.25">
      <c r="A4074" s="8"/>
      <c r="B4074" s="9"/>
      <c r="C4074" s="8"/>
    </row>
    <row r="4075" spans="1:3" x14ac:dyDescent="0.25">
      <c r="A4075" s="8"/>
      <c r="B4075" s="9"/>
      <c r="C4075" s="8"/>
    </row>
    <row r="4076" spans="1:3" x14ac:dyDescent="0.25">
      <c r="A4076" s="8"/>
      <c r="B4076" s="9"/>
      <c r="C4076" s="8"/>
    </row>
    <row r="4077" spans="1:3" x14ac:dyDescent="0.25">
      <c r="A4077" s="8"/>
      <c r="B4077" s="9"/>
      <c r="C4077" s="8"/>
    </row>
    <row r="4078" spans="1:3" x14ac:dyDescent="0.25">
      <c r="A4078" s="8"/>
      <c r="B4078" s="9"/>
      <c r="C4078" s="8"/>
    </row>
    <row r="4079" spans="1:3" x14ac:dyDescent="0.25">
      <c r="A4079" s="8"/>
      <c r="B4079" s="9"/>
      <c r="C4079" s="8"/>
    </row>
    <row r="4080" spans="1:3" x14ac:dyDescent="0.25">
      <c r="A4080" s="8"/>
      <c r="B4080" s="9"/>
      <c r="C4080" s="8"/>
    </row>
    <row r="4081" spans="1:3" x14ac:dyDescent="0.25">
      <c r="A4081" s="8"/>
      <c r="B4081" s="9"/>
      <c r="C4081" s="8"/>
    </row>
    <row r="4082" spans="1:3" x14ac:dyDescent="0.25">
      <c r="A4082" s="8"/>
      <c r="B4082" s="9"/>
      <c r="C4082" s="8"/>
    </row>
    <row r="4083" spans="1:3" x14ac:dyDescent="0.25">
      <c r="A4083" s="8"/>
      <c r="B4083" s="9"/>
      <c r="C4083" s="8"/>
    </row>
    <row r="4084" spans="1:3" x14ac:dyDescent="0.25">
      <c r="A4084" s="8"/>
      <c r="B4084" s="9"/>
      <c r="C4084" s="8"/>
    </row>
    <row r="4085" spans="1:3" x14ac:dyDescent="0.25">
      <c r="A4085" s="8"/>
      <c r="B4085" s="9"/>
      <c r="C4085" s="8"/>
    </row>
    <row r="4086" spans="1:3" x14ac:dyDescent="0.25">
      <c r="A4086" s="8"/>
      <c r="B4086" s="9"/>
      <c r="C4086" s="8"/>
    </row>
    <row r="4087" spans="1:3" x14ac:dyDescent="0.25">
      <c r="A4087" s="8"/>
      <c r="B4087" s="9"/>
      <c r="C4087" s="8"/>
    </row>
    <row r="4088" spans="1:3" x14ac:dyDescent="0.25">
      <c r="A4088" s="8"/>
      <c r="B4088" s="9"/>
      <c r="C4088" s="8"/>
    </row>
    <row r="4089" spans="1:3" x14ac:dyDescent="0.25">
      <c r="A4089" s="8"/>
      <c r="B4089" s="9"/>
      <c r="C4089" s="8"/>
    </row>
    <row r="4090" spans="1:3" x14ac:dyDescent="0.25">
      <c r="A4090" s="8"/>
      <c r="B4090" s="9"/>
      <c r="C4090" s="8"/>
    </row>
    <row r="4091" spans="1:3" x14ac:dyDescent="0.25">
      <c r="A4091" s="8"/>
      <c r="B4091" s="9"/>
      <c r="C4091" s="8"/>
    </row>
    <row r="4092" spans="1:3" x14ac:dyDescent="0.25">
      <c r="A4092" s="8"/>
      <c r="B4092" s="9"/>
      <c r="C4092" s="8"/>
    </row>
    <row r="4093" spans="1:3" x14ac:dyDescent="0.25">
      <c r="A4093" s="8"/>
      <c r="B4093" s="9"/>
      <c r="C4093" s="8"/>
    </row>
    <row r="4094" spans="1:3" x14ac:dyDescent="0.25">
      <c r="A4094" s="8"/>
      <c r="B4094" s="9"/>
      <c r="C4094" s="8"/>
    </row>
    <row r="4095" spans="1:3" x14ac:dyDescent="0.25">
      <c r="A4095" s="8"/>
      <c r="B4095" s="9"/>
      <c r="C4095" s="8"/>
    </row>
    <row r="4096" spans="1:3" x14ac:dyDescent="0.25">
      <c r="A4096" s="8"/>
      <c r="B4096" s="9"/>
      <c r="C4096" s="8"/>
    </row>
    <row r="4097" spans="1:3" x14ac:dyDescent="0.25">
      <c r="A4097" s="8"/>
      <c r="B4097" s="9"/>
      <c r="C4097" s="8"/>
    </row>
    <row r="4098" spans="1:3" x14ac:dyDescent="0.25">
      <c r="A4098" s="8"/>
      <c r="B4098" s="9"/>
      <c r="C4098" s="8"/>
    </row>
    <row r="4099" spans="1:3" x14ac:dyDescent="0.25">
      <c r="A4099" s="8"/>
      <c r="B4099" s="9"/>
      <c r="C4099" s="8"/>
    </row>
    <row r="4100" spans="1:3" x14ac:dyDescent="0.25">
      <c r="A4100" s="8"/>
      <c r="B4100" s="9"/>
      <c r="C4100" s="8"/>
    </row>
    <row r="4101" spans="1:3" x14ac:dyDescent="0.25">
      <c r="A4101" s="8"/>
      <c r="B4101" s="9"/>
      <c r="C4101" s="8"/>
    </row>
    <row r="4102" spans="1:3" x14ac:dyDescent="0.25">
      <c r="A4102" s="8"/>
      <c r="B4102" s="9"/>
      <c r="C4102" s="8"/>
    </row>
    <row r="4103" spans="1:3" x14ac:dyDescent="0.25">
      <c r="A4103" s="8"/>
      <c r="B4103" s="9"/>
      <c r="C4103" s="8"/>
    </row>
    <row r="4104" spans="1:3" x14ac:dyDescent="0.25">
      <c r="A4104" s="8"/>
      <c r="B4104" s="9"/>
      <c r="C4104" s="8"/>
    </row>
    <row r="4105" spans="1:3" x14ac:dyDescent="0.25">
      <c r="A4105" s="8"/>
      <c r="B4105" s="9"/>
      <c r="C4105" s="8"/>
    </row>
    <row r="4106" spans="1:3" x14ac:dyDescent="0.25">
      <c r="A4106" s="8"/>
      <c r="B4106" s="9"/>
      <c r="C4106" s="8"/>
    </row>
    <row r="4107" spans="1:3" x14ac:dyDescent="0.25">
      <c r="A4107" s="8"/>
      <c r="B4107" s="9"/>
      <c r="C4107" s="8"/>
    </row>
    <row r="4108" spans="1:3" x14ac:dyDescent="0.25">
      <c r="A4108" s="8"/>
      <c r="B4108" s="9"/>
      <c r="C4108" s="8"/>
    </row>
    <row r="4109" spans="1:3" x14ac:dyDescent="0.25">
      <c r="A4109" s="8"/>
      <c r="B4109" s="9"/>
      <c r="C4109" s="8"/>
    </row>
    <row r="4110" spans="1:3" x14ac:dyDescent="0.25">
      <c r="A4110" s="8"/>
      <c r="B4110" s="9"/>
      <c r="C4110" s="8"/>
    </row>
    <row r="4111" spans="1:3" x14ac:dyDescent="0.25">
      <c r="A4111" s="8"/>
      <c r="B4111" s="9"/>
      <c r="C4111" s="8"/>
    </row>
    <row r="4112" spans="1:3" x14ac:dyDescent="0.25">
      <c r="A4112" s="8"/>
      <c r="B4112" s="9"/>
      <c r="C4112" s="8"/>
    </row>
    <row r="4113" spans="1:3" x14ac:dyDescent="0.25">
      <c r="A4113" s="8"/>
      <c r="B4113" s="9"/>
      <c r="C4113" s="8"/>
    </row>
    <row r="4114" spans="1:3" x14ac:dyDescent="0.25">
      <c r="A4114" s="8"/>
      <c r="B4114" s="9"/>
      <c r="C4114" s="8"/>
    </row>
    <row r="4115" spans="1:3" x14ac:dyDescent="0.25">
      <c r="A4115" s="8"/>
      <c r="B4115" s="9"/>
      <c r="C4115" s="8"/>
    </row>
    <row r="4116" spans="1:3" x14ac:dyDescent="0.25">
      <c r="A4116" s="8"/>
      <c r="B4116" s="9"/>
      <c r="C4116" s="8"/>
    </row>
    <row r="4117" spans="1:3" x14ac:dyDescent="0.25">
      <c r="A4117" s="8"/>
      <c r="B4117" s="9"/>
      <c r="C4117" s="8"/>
    </row>
    <row r="4118" spans="1:3" x14ac:dyDescent="0.25">
      <c r="A4118" s="8"/>
      <c r="B4118" s="9"/>
      <c r="C4118" s="8"/>
    </row>
    <row r="4119" spans="1:3" x14ac:dyDescent="0.25">
      <c r="A4119" s="8"/>
      <c r="B4119" s="9"/>
      <c r="C4119" s="8"/>
    </row>
    <row r="4120" spans="1:3" x14ac:dyDescent="0.25">
      <c r="A4120" s="8"/>
      <c r="B4120" s="9"/>
      <c r="C4120" s="8"/>
    </row>
    <row r="4121" spans="1:3" x14ac:dyDescent="0.25">
      <c r="A4121" s="8"/>
      <c r="B4121" s="9"/>
      <c r="C4121" s="8"/>
    </row>
    <row r="4122" spans="1:3" x14ac:dyDescent="0.25">
      <c r="A4122" s="8"/>
      <c r="B4122" s="9"/>
      <c r="C4122" s="8"/>
    </row>
    <row r="4123" spans="1:3" x14ac:dyDescent="0.25">
      <c r="A4123" s="8"/>
      <c r="B4123" s="9"/>
      <c r="C4123" s="8"/>
    </row>
    <row r="4124" spans="1:3" x14ac:dyDescent="0.25">
      <c r="A4124" s="8"/>
      <c r="B4124" s="9"/>
      <c r="C4124" s="8"/>
    </row>
    <row r="4125" spans="1:3" x14ac:dyDescent="0.25">
      <c r="A4125" s="8"/>
      <c r="B4125" s="9"/>
      <c r="C4125" s="8"/>
    </row>
    <row r="4126" spans="1:3" x14ac:dyDescent="0.25">
      <c r="A4126" s="8"/>
      <c r="B4126" s="9"/>
      <c r="C4126" s="8"/>
    </row>
    <row r="4127" spans="1:3" x14ac:dyDescent="0.25">
      <c r="A4127" s="8"/>
      <c r="B4127" s="9"/>
      <c r="C4127" s="8"/>
    </row>
    <row r="4128" spans="1:3" x14ac:dyDescent="0.25">
      <c r="A4128" s="8"/>
      <c r="B4128" s="9"/>
      <c r="C4128" s="8"/>
    </row>
    <row r="4129" spans="1:3" x14ac:dyDescent="0.25">
      <c r="A4129" s="8"/>
      <c r="B4129" s="9"/>
      <c r="C4129" s="8"/>
    </row>
    <row r="4130" spans="1:3" x14ac:dyDescent="0.25">
      <c r="A4130" s="8"/>
      <c r="B4130" s="9"/>
      <c r="C4130" s="8"/>
    </row>
    <row r="4131" spans="1:3" x14ac:dyDescent="0.25">
      <c r="A4131" s="8"/>
      <c r="B4131" s="9"/>
      <c r="C4131" s="8"/>
    </row>
    <row r="4132" spans="1:3" x14ac:dyDescent="0.25">
      <c r="A4132" s="8"/>
      <c r="B4132" s="9"/>
      <c r="C4132" s="8"/>
    </row>
    <row r="4133" spans="1:3" x14ac:dyDescent="0.25">
      <c r="A4133" s="8"/>
      <c r="B4133" s="9"/>
      <c r="C4133" s="8"/>
    </row>
    <row r="4134" spans="1:3" x14ac:dyDescent="0.25">
      <c r="A4134" s="8"/>
      <c r="B4134" s="9"/>
      <c r="C4134" s="8"/>
    </row>
    <row r="4135" spans="1:3" x14ac:dyDescent="0.25">
      <c r="A4135" s="8"/>
      <c r="B4135" s="9"/>
      <c r="C4135" s="8"/>
    </row>
    <row r="4136" spans="1:3" x14ac:dyDescent="0.25">
      <c r="A4136" s="8"/>
      <c r="B4136" s="9"/>
      <c r="C4136" s="8"/>
    </row>
    <row r="4137" spans="1:3" x14ac:dyDescent="0.25">
      <c r="A4137" s="8"/>
      <c r="B4137" s="9"/>
      <c r="C4137" s="8"/>
    </row>
    <row r="4138" spans="1:3" x14ac:dyDescent="0.25">
      <c r="A4138" s="8"/>
      <c r="B4138" s="9"/>
      <c r="C4138" s="8"/>
    </row>
    <row r="4139" spans="1:3" x14ac:dyDescent="0.25">
      <c r="A4139" s="8"/>
      <c r="B4139" s="9"/>
      <c r="C4139" s="8"/>
    </row>
    <row r="4140" spans="1:3" x14ac:dyDescent="0.25">
      <c r="A4140" s="8"/>
      <c r="B4140" s="9"/>
      <c r="C4140" s="8"/>
    </row>
    <row r="4141" spans="1:3" x14ac:dyDescent="0.25">
      <c r="A4141" s="8"/>
      <c r="B4141" s="9"/>
      <c r="C4141" s="8"/>
    </row>
    <row r="4142" spans="1:3" x14ac:dyDescent="0.25">
      <c r="A4142" s="8"/>
      <c r="B4142" s="9"/>
      <c r="C4142" s="8"/>
    </row>
    <row r="4143" spans="1:3" x14ac:dyDescent="0.25">
      <c r="A4143" s="8"/>
      <c r="B4143" s="9"/>
      <c r="C4143" s="8"/>
    </row>
    <row r="4144" spans="1:3" x14ac:dyDescent="0.25">
      <c r="A4144" s="8"/>
      <c r="B4144" s="9"/>
      <c r="C4144" s="8"/>
    </row>
    <row r="4145" spans="1:3" x14ac:dyDescent="0.25">
      <c r="A4145" s="8"/>
      <c r="B4145" s="9"/>
      <c r="C4145" s="8"/>
    </row>
    <row r="4146" spans="1:3" x14ac:dyDescent="0.25">
      <c r="A4146" s="8"/>
      <c r="B4146" s="9"/>
      <c r="C4146" s="8"/>
    </row>
    <row r="4147" spans="1:3" x14ac:dyDescent="0.25">
      <c r="A4147" s="8"/>
      <c r="B4147" s="9"/>
      <c r="C4147" s="8"/>
    </row>
    <row r="4148" spans="1:3" x14ac:dyDescent="0.25">
      <c r="A4148" s="8"/>
      <c r="B4148" s="9"/>
      <c r="C4148" s="8"/>
    </row>
    <row r="4149" spans="1:3" x14ac:dyDescent="0.25">
      <c r="A4149" s="8"/>
      <c r="B4149" s="9"/>
      <c r="C4149" s="8"/>
    </row>
    <row r="4150" spans="1:3" x14ac:dyDescent="0.25">
      <c r="A4150" s="8"/>
      <c r="B4150" s="9"/>
      <c r="C4150" s="8"/>
    </row>
    <row r="4151" spans="1:3" x14ac:dyDescent="0.25">
      <c r="A4151" s="8"/>
      <c r="B4151" s="9"/>
      <c r="C4151" s="8"/>
    </row>
    <row r="4152" spans="1:3" x14ac:dyDescent="0.25">
      <c r="A4152" s="8"/>
      <c r="B4152" s="9"/>
      <c r="C4152" s="8"/>
    </row>
    <row r="4153" spans="1:3" x14ac:dyDescent="0.25">
      <c r="A4153" s="8"/>
      <c r="B4153" s="9"/>
      <c r="C4153" s="8"/>
    </row>
    <row r="4154" spans="1:3" x14ac:dyDescent="0.25">
      <c r="A4154" s="8"/>
      <c r="B4154" s="9"/>
      <c r="C4154" s="8"/>
    </row>
    <row r="4155" spans="1:3" x14ac:dyDescent="0.25">
      <c r="A4155" s="8"/>
      <c r="B4155" s="9"/>
      <c r="C4155" s="8"/>
    </row>
    <row r="4156" spans="1:3" x14ac:dyDescent="0.25">
      <c r="A4156" s="8"/>
      <c r="B4156" s="9"/>
      <c r="C4156" s="8"/>
    </row>
    <row r="4157" spans="1:3" x14ac:dyDescent="0.25">
      <c r="A4157" s="8"/>
      <c r="B4157" s="9"/>
      <c r="C4157" s="8"/>
    </row>
    <row r="4158" spans="1:3" x14ac:dyDescent="0.25">
      <c r="A4158" s="8"/>
      <c r="B4158" s="9"/>
      <c r="C4158" s="8"/>
    </row>
    <row r="4159" spans="1:3" x14ac:dyDescent="0.25">
      <c r="A4159" s="8"/>
      <c r="B4159" s="9"/>
      <c r="C4159" s="8"/>
    </row>
    <row r="4160" spans="1:3" x14ac:dyDescent="0.25">
      <c r="A4160" s="8"/>
      <c r="B4160" s="9"/>
      <c r="C4160" s="8"/>
    </row>
    <row r="4161" spans="1:3" x14ac:dyDescent="0.25">
      <c r="A4161" s="8"/>
      <c r="B4161" s="9"/>
      <c r="C4161" s="8"/>
    </row>
    <row r="4162" spans="1:3" x14ac:dyDescent="0.25">
      <c r="A4162" s="8"/>
      <c r="B4162" s="9"/>
      <c r="C4162" s="8"/>
    </row>
    <row r="4163" spans="1:3" x14ac:dyDescent="0.25">
      <c r="A4163" s="8"/>
      <c r="B4163" s="9"/>
      <c r="C4163" s="8"/>
    </row>
    <row r="4164" spans="1:3" x14ac:dyDescent="0.25">
      <c r="A4164" s="8"/>
      <c r="B4164" s="9"/>
      <c r="C4164" s="8"/>
    </row>
    <row r="4165" spans="1:3" x14ac:dyDescent="0.25">
      <c r="A4165" s="8"/>
      <c r="B4165" s="9"/>
      <c r="C4165" s="8"/>
    </row>
    <row r="4166" spans="1:3" x14ac:dyDescent="0.25">
      <c r="A4166" s="8"/>
      <c r="B4166" s="9"/>
      <c r="C4166" s="8"/>
    </row>
    <row r="4167" spans="1:3" x14ac:dyDescent="0.25">
      <c r="A4167" s="8"/>
      <c r="B4167" s="9"/>
      <c r="C4167" s="8"/>
    </row>
    <row r="4168" spans="1:3" x14ac:dyDescent="0.25">
      <c r="A4168" s="8"/>
      <c r="B4168" s="9"/>
      <c r="C4168" s="8"/>
    </row>
    <row r="4169" spans="1:3" x14ac:dyDescent="0.25">
      <c r="A4169" s="8"/>
      <c r="B4169" s="9"/>
      <c r="C4169" s="8"/>
    </row>
    <row r="4170" spans="1:3" x14ac:dyDescent="0.25">
      <c r="A4170" s="8"/>
      <c r="B4170" s="9"/>
      <c r="C4170" s="8"/>
    </row>
    <row r="4171" spans="1:3" x14ac:dyDescent="0.25">
      <c r="A4171" s="8"/>
      <c r="B4171" s="9"/>
      <c r="C4171" s="8"/>
    </row>
    <row r="4172" spans="1:3" x14ac:dyDescent="0.25">
      <c r="A4172" s="8"/>
      <c r="B4172" s="9"/>
      <c r="C4172" s="8"/>
    </row>
    <row r="4173" spans="1:3" x14ac:dyDescent="0.25">
      <c r="A4173" s="8"/>
      <c r="B4173" s="9"/>
      <c r="C4173" s="8"/>
    </row>
    <row r="4174" spans="1:3" x14ac:dyDescent="0.25">
      <c r="A4174" s="8"/>
      <c r="B4174" s="9"/>
      <c r="C4174" s="8"/>
    </row>
    <row r="4175" spans="1:3" x14ac:dyDescent="0.25">
      <c r="A4175" s="8"/>
      <c r="B4175" s="9"/>
      <c r="C4175" s="8"/>
    </row>
    <row r="4176" spans="1:3" x14ac:dyDescent="0.25">
      <c r="A4176" s="8"/>
      <c r="B4176" s="9"/>
      <c r="C4176" s="8"/>
    </row>
    <row r="4177" spans="1:3" x14ac:dyDescent="0.25">
      <c r="A4177" s="8"/>
      <c r="B4177" s="9"/>
      <c r="C4177" s="8"/>
    </row>
    <row r="4178" spans="1:3" x14ac:dyDescent="0.25">
      <c r="A4178" s="8"/>
      <c r="B4178" s="9"/>
      <c r="C4178" s="8"/>
    </row>
    <row r="4179" spans="1:3" x14ac:dyDescent="0.25">
      <c r="A4179" s="8"/>
      <c r="B4179" s="9"/>
      <c r="C4179" s="8"/>
    </row>
    <row r="4180" spans="1:3" x14ac:dyDescent="0.25">
      <c r="A4180" s="8"/>
      <c r="B4180" s="9"/>
      <c r="C4180" s="8"/>
    </row>
    <row r="4181" spans="1:3" x14ac:dyDescent="0.25">
      <c r="A4181" s="8"/>
      <c r="B4181" s="9"/>
      <c r="C4181" s="8"/>
    </row>
    <row r="4182" spans="1:3" x14ac:dyDescent="0.25">
      <c r="A4182" s="8"/>
      <c r="B4182" s="9"/>
      <c r="C4182" s="8"/>
    </row>
    <row r="4183" spans="1:3" x14ac:dyDescent="0.25">
      <c r="A4183" s="8"/>
      <c r="B4183" s="9"/>
      <c r="C4183" s="8"/>
    </row>
    <row r="4184" spans="1:3" x14ac:dyDescent="0.25">
      <c r="A4184" s="8"/>
      <c r="B4184" s="9"/>
      <c r="C4184" s="8"/>
    </row>
    <row r="4185" spans="1:3" x14ac:dyDescent="0.25">
      <c r="A4185" s="8"/>
      <c r="B4185" s="9"/>
      <c r="C4185" s="8"/>
    </row>
    <row r="4186" spans="1:3" x14ac:dyDescent="0.25">
      <c r="A4186" s="8"/>
      <c r="B4186" s="9"/>
      <c r="C4186" s="8"/>
    </row>
    <row r="4187" spans="1:3" x14ac:dyDescent="0.25">
      <c r="A4187" s="8"/>
      <c r="B4187" s="9"/>
      <c r="C4187" s="8"/>
    </row>
    <row r="4188" spans="1:3" x14ac:dyDescent="0.25">
      <c r="A4188" s="8"/>
      <c r="B4188" s="9"/>
      <c r="C4188" s="8"/>
    </row>
    <row r="4189" spans="1:3" x14ac:dyDescent="0.25">
      <c r="A4189" s="8"/>
      <c r="B4189" s="9"/>
      <c r="C4189" s="8"/>
    </row>
    <row r="4190" spans="1:3" x14ac:dyDescent="0.25">
      <c r="A4190" s="8"/>
      <c r="B4190" s="9"/>
      <c r="C4190" s="8"/>
    </row>
    <row r="4191" spans="1:3" x14ac:dyDescent="0.25">
      <c r="A4191" s="8"/>
      <c r="B4191" s="9"/>
      <c r="C4191" s="8"/>
    </row>
    <row r="4192" spans="1:3" x14ac:dyDescent="0.25">
      <c r="A4192" s="8"/>
      <c r="B4192" s="9"/>
      <c r="C4192" s="8"/>
    </row>
    <row r="4193" spans="1:3" x14ac:dyDescent="0.25">
      <c r="A4193" s="8"/>
      <c r="B4193" s="9"/>
      <c r="C4193" s="8"/>
    </row>
    <row r="4194" spans="1:3" x14ac:dyDescent="0.25">
      <c r="A4194" s="8"/>
      <c r="B4194" s="9"/>
      <c r="C4194" s="8"/>
    </row>
    <row r="4195" spans="1:3" x14ac:dyDescent="0.25">
      <c r="A4195" s="8"/>
      <c r="B4195" s="9"/>
      <c r="C4195" s="8"/>
    </row>
    <row r="4196" spans="1:3" x14ac:dyDescent="0.25">
      <c r="A4196" s="8"/>
      <c r="B4196" s="9"/>
      <c r="C4196" s="8"/>
    </row>
    <row r="4197" spans="1:3" x14ac:dyDescent="0.25">
      <c r="A4197" s="8"/>
      <c r="B4197" s="9"/>
      <c r="C4197" s="8"/>
    </row>
    <row r="4198" spans="1:3" x14ac:dyDescent="0.25">
      <c r="A4198" s="8"/>
      <c r="B4198" s="9"/>
      <c r="C4198" s="8"/>
    </row>
    <row r="4199" spans="1:3" x14ac:dyDescent="0.25">
      <c r="A4199" s="8"/>
      <c r="B4199" s="9"/>
      <c r="C4199" s="8"/>
    </row>
    <row r="4200" spans="1:3" x14ac:dyDescent="0.25">
      <c r="A4200" s="8"/>
      <c r="B4200" s="9"/>
      <c r="C4200" s="8"/>
    </row>
    <row r="4201" spans="1:3" x14ac:dyDescent="0.25">
      <c r="A4201" s="8"/>
      <c r="B4201" s="9"/>
      <c r="C4201" s="8"/>
    </row>
    <row r="4202" spans="1:3" x14ac:dyDescent="0.25">
      <c r="A4202" s="8"/>
      <c r="B4202" s="9"/>
      <c r="C4202" s="8"/>
    </row>
    <row r="4203" spans="1:3" x14ac:dyDescent="0.25">
      <c r="A4203" s="8"/>
      <c r="B4203" s="9"/>
      <c r="C4203" s="8"/>
    </row>
    <row r="4204" spans="1:3" x14ac:dyDescent="0.25">
      <c r="A4204" s="8"/>
      <c r="B4204" s="9"/>
      <c r="C4204" s="8"/>
    </row>
    <row r="4205" spans="1:3" x14ac:dyDescent="0.25">
      <c r="A4205" s="8"/>
      <c r="B4205" s="9"/>
      <c r="C4205" s="8"/>
    </row>
    <row r="4206" spans="1:3" x14ac:dyDescent="0.25">
      <c r="A4206" s="8"/>
      <c r="B4206" s="9"/>
      <c r="C4206" s="8"/>
    </row>
    <row r="4207" spans="1:3" x14ac:dyDescent="0.25">
      <c r="A4207" s="8"/>
      <c r="B4207" s="9"/>
      <c r="C4207" s="8"/>
    </row>
    <row r="4208" spans="1:3" x14ac:dyDescent="0.25">
      <c r="A4208" s="8"/>
      <c r="B4208" s="9"/>
      <c r="C4208" s="8"/>
    </row>
    <row r="4209" spans="1:3" x14ac:dyDescent="0.25">
      <c r="A4209" s="8"/>
      <c r="B4209" s="9"/>
      <c r="C4209" s="8"/>
    </row>
    <row r="4210" spans="1:3" x14ac:dyDescent="0.25">
      <c r="A4210" s="8"/>
      <c r="B4210" s="9"/>
      <c r="C4210" s="8"/>
    </row>
    <row r="4211" spans="1:3" x14ac:dyDescent="0.25">
      <c r="A4211" s="8"/>
      <c r="B4211" s="9"/>
      <c r="C4211" s="8"/>
    </row>
    <row r="4212" spans="1:3" x14ac:dyDescent="0.25">
      <c r="A4212" s="8"/>
      <c r="B4212" s="9"/>
      <c r="C4212" s="8"/>
    </row>
    <row r="4213" spans="1:3" x14ac:dyDescent="0.25">
      <c r="A4213" s="8"/>
      <c r="B4213" s="9"/>
      <c r="C4213" s="8"/>
    </row>
    <row r="4214" spans="1:3" x14ac:dyDescent="0.25">
      <c r="A4214" s="8"/>
      <c r="B4214" s="9"/>
      <c r="C4214" s="8"/>
    </row>
    <row r="4215" spans="1:3" x14ac:dyDescent="0.25">
      <c r="A4215" s="8"/>
      <c r="B4215" s="9"/>
      <c r="C4215" s="8"/>
    </row>
    <row r="4216" spans="1:3" x14ac:dyDescent="0.25">
      <c r="A4216" s="8"/>
      <c r="B4216" s="9"/>
      <c r="C4216" s="8"/>
    </row>
    <row r="4217" spans="1:3" x14ac:dyDescent="0.25">
      <c r="A4217" s="8"/>
      <c r="B4217" s="9"/>
      <c r="C4217" s="8"/>
    </row>
    <row r="4218" spans="1:3" x14ac:dyDescent="0.25">
      <c r="A4218" s="8"/>
      <c r="B4218" s="9"/>
      <c r="C4218" s="8"/>
    </row>
    <row r="4219" spans="1:3" x14ac:dyDescent="0.25">
      <c r="A4219" s="8"/>
      <c r="B4219" s="9"/>
      <c r="C4219" s="8"/>
    </row>
    <row r="4220" spans="1:3" x14ac:dyDescent="0.25">
      <c r="A4220" s="8"/>
      <c r="B4220" s="9"/>
      <c r="C4220" s="8"/>
    </row>
    <row r="4221" spans="1:3" x14ac:dyDescent="0.25">
      <c r="A4221" s="8"/>
      <c r="B4221" s="9"/>
      <c r="C4221" s="8"/>
    </row>
    <row r="4222" spans="1:3" x14ac:dyDescent="0.25">
      <c r="A4222" s="8"/>
      <c r="B4222" s="9"/>
      <c r="C4222" s="8"/>
    </row>
    <row r="4223" spans="1:3" x14ac:dyDescent="0.25">
      <c r="A4223" s="8"/>
      <c r="B4223" s="9"/>
      <c r="C4223" s="8"/>
    </row>
    <row r="4224" spans="1:3" x14ac:dyDescent="0.25">
      <c r="A4224" s="8"/>
      <c r="B4224" s="9"/>
      <c r="C4224" s="8"/>
    </row>
    <row r="4225" spans="1:3" x14ac:dyDescent="0.25">
      <c r="A4225" s="8"/>
      <c r="B4225" s="9"/>
      <c r="C4225" s="8"/>
    </row>
    <row r="4226" spans="1:3" x14ac:dyDescent="0.25">
      <c r="A4226" s="8"/>
      <c r="B4226" s="9"/>
      <c r="C4226" s="8"/>
    </row>
    <row r="4227" spans="1:3" x14ac:dyDescent="0.25">
      <c r="A4227" s="8"/>
      <c r="B4227" s="9"/>
      <c r="C4227" s="8"/>
    </row>
    <row r="4228" spans="1:3" x14ac:dyDescent="0.25">
      <c r="A4228" s="8"/>
      <c r="B4228" s="9"/>
      <c r="C4228" s="8"/>
    </row>
    <row r="4229" spans="1:3" x14ac:dyDescent="0.25">
      <c r="A4229" s="8"/>
      <c r="B4229" s="9"/>
      <c r="C4229" s="8"/>
    </row>
    <row r="4230" spans="1:3" x14ac:dyDescent="0.25">
      <c r="A4230" s="8"/>
      <c r="B4230" s="9"/>
      <c r="C4230" s="8"/>
    </row>
    <row r="4231" spans="1:3" x14ac:dyDescent="0.25">
      <c r="A4231" s="8"/>
      <c r="B4231" s="9"/>
      <c r="C4231" s="8"/>
    </row>
    <row r="4232" spans="1:3" x14ac:dyDescent="0.25">
      <c r="A4232" s="8"/>
      <c r="B4232" s="9"/>
      <c r="C4232" s="8"/>
    </row>
    <row r="4233" spans="1:3" x14ac:dyDescent="0.25">
      <c r="A4233" s="8"/>
      <c r="B4233" s="9"/>
      <c r="C4233" s="8"/>
    </row>
    <row r="4234" spans="1:3" x14ac:dyDescent="0.25">
      <c r="A4234" s="8"/>
      <c r="B4234" s="9"/>
      <c r="C4234" s="8"/>
    </row>
    <row r="4235" spans="1:3" x14ac:dyDescent="0.25">
      <c r="A4235" s="8"/>
      <c r="B4235" s="9"/>
      <c r="C4235" s="8"/>
    </row>
    <row r="4236" spans="1:3" x14ac:dyDescent="0.25">
      <c r="A4236" s="8"/>
      <c r="B4236" s="9"/>
      <c r="C4236" s="8"/>
    </row>
    <row r="4237" spans="1:3" x14ac:dyDescent="0.25">
      <c r="A4237" s="8"/>
      <c r="B4237" s="9"/>
      <c r="C4237" s="8"/>
    </row>
    <row r="4238" spans="1:3" x14ac:dyDescent="0.25">
      <c r="A4238" s="8"/>
      <c r="B4238" s="9"/>
      <c r="C4238" s="8"/>
    </row>
    <row r="4239" spans="1:3" x14ac:dyDescent="0.25">
      <c r="A4239" s="8"/>
      <c r="B4239" s="9"/>
      <c r="C4239" s="8"/>
    </row>
    <row r="4240" spans="1:3" x14ac:dyDescent="0.25">
      <c r="A4240" s="8"/>
      <c r="B4240" s="9"/>
      <c r="C4240" s="8"/>
    </row>
    <row r="4241" spans="1:3" x14ac:dyDescent="0.25">
      <c r="A4241" s="8"/>
      <c r="B4241" s="9"/>
      <c r="C4241" s="8"/>
    </row>
    <row r="4242" spans="1:3" x14ac:dyDescent="0.25">
      <c r="A4242" s="8"/>
      <c r="B4242" s="9"/>
      <c r="C4242" s="8"/>
    </row>
    <row r="4243" spans="1:3" x14ac:dyDescent="0.25">
      <c r="A4243" s="8"/>
      <c r="B4243" s="9"/>
      <c r="C4243" s="8"/>
    </row>
    <row r="4244" spans="1:3" x14ac:dyDescent="0.25">
      <c r="A4244" s="8"/>
      <c r="B4244" s="9"/>
      <c r="C4244" s="8"/>
    </row>
    <row r="4245" spans="1:3" x14ac:dyDescent="0.25">
      <c r="A4245" s="8"/>
      <c r="B4245" s="9"/>
      <c r="C4245" s="8"/>
    </row>
    <row r="4246" spans="1:3" x14ac:dyDescent="0.25">
      <c r="A4246" s="8"/>
      <c r="B4246" s="9"/>
      <c r="C4246" s="8"/>
    </row>
    <row r="4247" spans="1:3" x14ac:dyDescent="0.25">
      <c r="A4247" s="8"/>
      <c r="B4247" s="9"/>
      <c r="C4247" s="8"/>
    </row>
    <row r="4248" spans="1:3" x14ac:dyDescent="0.25">
      <c r="A4248" s="8"/>
      <c r="B4248" s="9"/>
      <c r="C4248" s="8"/>
    </row>
    <row r="4249" spans="1:3" x14ac:dyDescent="0.25">
      <c r="A4249" s="8"/>
      <c r="B4249" s="9"/>
      <c r="C4249" s="8"/>
    </row>
    <row r="4250" spans="1:3" x14ac:dyDescent="0.25">
      <c r="A4250" s="8"/>
      <c r="B4250" s="9"/>
      <c r="C4250" s="8"/>
    </row>
    <row r="4251" spans="1:3" x14ac:dyDescent="0.25">
      <c r="A4251" s="8"/>
      <c r="B4251" s="9"/>
      <c r="C4251" s="8"/>
    </row>
    <row r="4252" spans="1:3" x14ac:dyDescent="0.25">
      <c r="A4252" s="8"/>
      <c r="B4252" s="9"/>
      <c r="C4252" s="8"/>
    </row>
    <row r="4253" spans="1:3" x14ac:dyDescent="0.25">
      <c r="A4253" s="8"/>
      <c r="B4253" s="9"/>
      <c r="C4253" s="8"/>
    </row>
    <row r="4254" spans="1:3" x14ac:dyDescent="0.25">
      <c r="A4254" s="8"/>
      <c r="B4254" s="9"/>
      <c r="C4254" s="8"/>
    </row>
    <row r="4255" spans="1:3" x14ac:dyDescent="0.25">
      <c r="A4255" s="8"/>
      <c r="B4255" s="9"/>
      <c r="C4255" s="8"/>
    </row>
    <row r="4256" spans="1:3" x14ac:dyDescent="0.25">
      <c r="A4256" s="8"/>
      <c r="B4256" s="9"/>
      <c r="C4256" s="8"/>
    </row>
    <row r="4257" spans="1:3" x14ac:dyDescent="0.25">
      <c r="A4257" s="8"/>
      <c r="B4257" s="9"/>
      <c r="C4257" s="8"/>
    </row>
    <row r="4258" spans="1:3" x14ac:dyDescent="0.25">
      <c r="A4258" s="8"/>
      <c r="B4258" s="9"/>
      <c r="C4258" s="8"/>
    </row>
    <row r="4259" spans="1:3" x14ac:dyDescent="0.25">
      <c r="A4259" s="8"/>
      <c r="B4259" s="9"/>
      <c r="C4259" s="8"/>
    </row>
    <row r="4260" spans="1:3" x14ac:dyDescent="0.25">
      <c r="A4260" s="8"/>
      <c r="B4260" s="9"/>
      <c r="C4260" s="8"/>
    </row>
    <row r="4261" spans="1:3" x14ac:dyDescent="0.25">
      <c r="A4261" s="8"/>
      <c r="B4261" s="9"/>
      <c r="C4261" s="8"/>
    </row>
    <row r="4262" spans="1:3" x14ac:dyDescent="0.25">
      <c r="A4262" s="8"/>
      <c r="B4262" s="9"/>
      <c r="C4262" s="8"/>
    </row>
    <row r="4263" spans="1:3" x14ac:dyDescent="0.25">
      <c r="A4263" s="8"/>
      <c r="B4263" s="9"/>
      <c r="C4263" s="8"/>
    </row>
    <row r="4264" spans="1:3" x14ac:dyDescent="0.25">
      <c r="A4264" s="8"/>
      <c r="B4264" s="9"/>
      <c r="C4264" s="8"/>
    </row>
    <row r="4265" spans="1:3" x14ac:dyDescent="0.25">
      <c r="A4265" s="8"/>
      <c r="B4265" s="9"/>
      <c r="C4265" s="8"/>
    </row>
    <row r="4266" spans="1:3" x14ac:dyDescent="0.25">
      <c r="A4266" s="8"/>
      <c r="B4266" s="9"/>
      <c r="C4266" s="8"/>
    </row>
    <row r="4267" spans="1:3" x14ac:dyDescent="0.25">
      <c r="A4267" s="8"/>
      <c r="B4267" s="9"/>
      <c r="C4267" s="8"/>
    </row>
    <row r="4268" spans="1:3" x14ac:dyDescent="0.25">
      <c r="A4268" s="8"/>
      <c r="B4268" s="9"/>
      <c r="C4268" s="8"/>
    </row>
    <row r="4269" spans="1:3" x14ac:dyDescent="0.25">
      <c r="A4269" s="8"/>
      <c r="B4269" s="9"/>
      <c r="C4269" s="8"/>
    </row>
    <row r="4270" spans="1:3" x14ac:dyDescent="0.25">
      <c r="A4270" s="8"/>
      <c r="B4270" s="9"/>
      <c r="C4270" s="8"/>
    </row>
    <row r="4271" spans="1:3" x14ac:dyDescent="0.25">
      <c r="A4271" s="8"/>
      <c r="B4271" s="9"/>
      <c r="C4271" s="8"/>
    </row>
    <row r="4272" spans="1:3" x14ac:dyDescent="0.25">
      <c r="A4272" s="8"/>
      <c r="B4272" s="9"/>
      <c r="C4272" s="8"/>
    </row>
    <row r="4273" spans="1:3" x14ac:dyDescent="0.25">
      <c r="A4273" s="8"/>
      <c r="B4273" s="9"/>
      <c r="C4273" s="8"/>
    </row>
    <row r="4274" spans="1:3" x14ac:dyDescent="0.25">
      <c r="A4274" s="8"/>
      <c r="B4274" s="9"/>
      <c r="C4274" s="8"/>
    </row>
    <row r="4275" spans="1:3" x14ac:dyDescent="0.25">
      <c r="A4275" s="8"/>
      <c r="B4275" s="9"/>
      <c r="C4275" s="8"/>
    </row>
    <row r="4276" spans="1:3" x14ac:dyDescent="0.25">
      <c r="A4276" s="8"/>
      <c r="B4276" s="9"/>
      <c r="C4276" s="8"/>
    </row>
    <row r="4277" spans="1:3" x14ac:dyDescent="0.25">
      <c r="A4277" s="8"/>
      <c r="B4277" s="9"/>
      <c r="C4277" s="8"/>
    </row>
    <row r="4278" spans="1:3" x14ac:dyDescent="0.25">
      <c r="A4278" s="8"/>
      <c r="B4278" s="9"/>
      <c r="C4278" s="8"/>
    </row>
    <row r="4279" spans="1:3" x14ac:dyDescent="0.25">
      <c r="A4279" s="8"/>
      <c r="B4279" s="9"/>
      <c r="C4279" s="8"/>
    </row>
    <row r="4280" spans="1:3" x14ac:dyDescent="0.25">
      <c r="A4280" s="8"/>
      <c r="B4280" s="9"/>
      <c r="C4280" s="8"/>
    </row>
    <row r="4281" spans="1:3" x14ac:dyDescent="0.25">
      <c r="A4281" s="8"/>
      <c r="B4281" s="9"/>
      <c r="C4281" s="8"/>
    </row>
    <row r="4282" spans="1:3" x14ac:dyDescent="0.25">
      <c r="A4282" s="8"/>
      <c r="B4282" s="9"/>
      <c r="C4282" s="8"/>
    </row>
    <row r="4283" spans="1:3" x14ac:dyDescent="0.25">
      <c r="A4283" s="8"/>
      <c r="B4283" s="9"/>
      <c r="C4283" s="8"/>
    </row>
    <row r="4284" spans="1:3" x14ac:dyDescent="0.25">
      <c r="A4284" s="8"/>
      <c r="B4284" s="9"/>
      <c r="C4284" s="8"/>
    </row>
    <row r="4285" spans="1:3" x14ac:dyDescent="0.25">
      <c r="A4285" s="8"/>
      <c r="B4285" s="9"/>
      <c r="C4285" s="8"/>
    </row>
    <row r="4286" spans="1:3" x14ac:dyDescent="0.25">
      <c r="A4286" s="8"/>
      <c r="B4286" s="9"/>
      <c r="C4286" s="8"/>
    </row>
    <row r="4287" spans="1:3" x14ac:dyDescent="0.25">
      <c r="A4287" s="8"/>
      <c r="B4287" s="9"/>
      <c r="C4287" s="8"/>
    </row>
    <row r="4288" spans="1:3" x14ac:dyDescent="0.25">
      <c r="A4288" s="8"/>
      <c r="B4288" s="9"/>
      <c r="C4288" s="8"/>
    </row>
    <row r="4289" spans="1:3" x14ac:dyDescent="0.25">
      <c r="A4289" s="8"/>
      <c r="B4289" s="9"/>
      <c r="C4289" s="8"/>
    </row>
    <row r="4290" spans="1:3" x14ac:dyDescent="0.25">
      <c r="A4290" s="8"/>
      <c r="B4290" s="9"/>
      <c r="C4290" s="8"/>
    </row>
    <row r="4291" spans="1:3" x14ac:dyDescent="0.25">
      <c r="A4291" s="8"/>
      <c r="B4291" s="9"/>
      <c r="C4291" s="8"/>
    </row>
    <row r="4292" spans="1:3" x14ac:dyDescent="0.25">
      <c r="A4292" s="8"/>
      <c r="B4292" s="9"/>
      <c r="C4292" s="8"/>
    </row>
    <row r="4293" spans="1:3" x14ac:dyDescent="0.25">
      <c r="A4293" s="8"/>
      <c r="B4293" s="9"/>
      <c r="C4293" s="8"/>
    </row>
    <row r="4294" spans="1:3" x14ac:dyDescent="0.25">
      <c r="A4294" s="8"/>
      <c r="B4294" s="9"/>
      <c r="C4294" s="8"/>
    </row>
    <row r="4295" spans="1:3" x14ac:dyDescent="0.25">
      <c r="A4295" s="8"/>
      <c r="B4295" s="9"/>
      <c r="C4295" s="8"/>
    </row>
    <row r="4296" spans="1:3" x14ac:dyDescent="0.25">
      <c r="A4296" s="8"/>
      <c r="B4296" s="9"/>
      <c r="C4296" s="8"/>
    </row>
    <row r="4297" spans="1:3" x14ac:dyDescent="0.25">
      <c r="A4297" s="8"/>
      <c r="B4297" s="9"/>
      <c r="C4297" s="8"/>
    </row>
    <row r="4298" spans="1:3" x14ac:dyDescent="0.25">
      <c r="A4298" s="8"/>
      <c r="B4298" s="9"/>
      <c r="C4298" s="8"/>
    </row>
    <row r="4299" spans="1:3" x14ac:dyDescent="0.25">
      <c r="A4299" s="8"/>
      <c r="B4299" s="9"/>
      <c r="C4299" s="8"/>
    </row>
    <row r="4300" spans="1:3" x14ac:dyDescent="0.25">
      <c r="A4300" s="8"/>
      <c r="B4300" s="9"/>
      <c r="C4300" s="8"/>
    </row>
    <row r="4301" spans="1:3" x14ac:dyDescent="0.25">
      <c r="A4301" s="8"/>
      <c r="B4301" s="9"/>
      <c r="C4301" s="8"/>
    </row>
    <row r="4302" spans="1:3" x14ac:dyDescent="0.25">
      <c r="A4302" s="8"/>
      <c r="B4302" s="9"/>
      <c r="C4302" s="8"/>
    </row>
    <row r="4303" spans="1:3" x14ac:dyDescent="0.25">
      <c r="A4303" s="8"/>
      <c r="B4303" s="9"/>
      <c r="C4303" s="8"/>
    </row>
    <row r="4304" spans="1:3" x14ac:dyDescent="0.25">
      <c r="A4304" s="8"/>
      <c r="B4304" s="9"/>
      <c r="C4304" s="8"/>
    </row>
    <row r="4305" spans="1:3" x14ac:dyDescent="0.25">
      <c r="A4305" s="8"/>
      <c r="B4305" s="9"/>
      <c r="C4305" s="8"/>
    </row>
    <row r="4306" spans="1:3" x14ac:dyDescent="0.25">
      <c r="A4306" s="8"/>
      <c r="B4306" s="9"/>
      <c r="C4306" s="8"/>
    </row>
    <row r="4307" spans="1:3" x14ac:dyDescent="0.25">
      <c r="A4307" s="8"/>
      <c r="B4307" s="9"/>
      <c r="C4307" s="8"/>
    </row>
    <row r="4308" spans="1:3" x14ac:dyDescent="0.25">
      <c r="A4308" s="8"/>
      <c r="B4308" s="9"/>
      <c r="C4308" s="8"/>
    </row>
    <row r="4309" spans="1:3" x14ac:dyDescent="0.25">
      <c r="A4309" s="8"/>
      <c r="B4309" s="9"/>
      <c r="C4309" s="8"/>
    </row>
    <row r="4310" spans="1:3" x14ac:dyDescent="0.25">
      <c r="A4310" s="8"/>
      <c r="B4310" s="9"/>
      <c r="C4310" s="8"/>
    </row>
    <row r="4311" spans="1:3" x14ac:dyDescent="0.25">
      <c r="A4311" s="8"/>
      <c r="B4311" s="9"/>
      <c r="C4311" s="8"/>
    </row>
    <row r="4312" spans="1:3" x14ac:dyDescent="0.25">
      <c r="A4312" s="8"/>
      <c r="B4312" s="9"/>
      <c r="C4312" s="8"/>
    </row>
    <row r="4313" spans="1:3" x14ac:dyDescent="0.25">
      <c r="A4313" s="8"/>
      <c r="B4313" s="9"/>
      <c r="C4313" s="8"/>
    </row>
    <row r="4314" spans="1:3" x14ac:dyDescent="0.25">
      <c r="A4314" s="8"/>
      <c r="B4314" s="9"/>
      <c r="C4314" s="8"/>
    </row>
    <row r="4315" spans="1:3" x14ac:dyDescent="0.25">
      <c r="A4315" s="8"/>
      <c r="B4315" s="9"/>
      <c r="C4315" s="8"/>
    </row>
    <row r="4316" spans="1:3" x14ac:dyDescent="0.25">
      <c r="A4316" s="8"/>
      <c r="B4316" s="9"/>
      <c r="C4316" s="8"/>
    </row>
    <row r="4317" spans="1:3" x14ac:dyDescent="0.25">
      <c r="A4317" s="8"/>
      <c r="B4317" s="9"/>
      <c r="C4317" s="8"/>
    </row>
    <row r="4318" spans="1:3" x14ac:dyDescent="0.25">
      <c r="A4318" s="8"/>
      <c r="B4318" s="9"/>
      <c r="C4318" s="8"/>
    </row>
    <row r="4319" spans="1:3" x14ac:dyDescent="0.25">
      <c r="A4319" s="8"/>
      <c r="B4319" s="9"/>
      <c r="C4319" s="8"/>
    </row>
    <row r="4320" spans="1:3" x14ac:dyDescent="0.25">
      <c r="A4320" s="8"/>
      <c r="B4320" s="9"/>
      <c r="C4320" s="8"/>
    </row>
    <row r="4321" spans="1:3" x14ac:dyDescent="0.25">
      <c r="A4321" s="8"/>
      <c r="B4321" s="9"/>
      <c r="C4321" s="8"/>
    </row>
    <row r="4322" spans="1:3" x14ac:dyDescent="0.25">
      <c r="A4322" s="8"/>
      <c r="B4322" s="9"/>
      <c r="C4322" s="8"/>
    </row>
    <row r="4323" spans="1:3" x14ac:dyDescent="0.25">
      <c r="A4323" s="8"/>
      <c r="B4323" s="9"/>
      <c r="C4323" s="8"/>
    </row>
    <row r="4324" spans="1:3" x14ac:dyDescent="0.25">
      <c r="A4324" s="8"/>
      <c r="B4324" s="9"/>
      <c r="C4324" s="8"/>
    </row>
    <row r="4325" spans="1:3" x14ac:dyDescent="0.25">
      <c r="A4325" s="8"/>
      <c r="B4325" s="9"/>
      <c r="C4325" s="8"/>
    </row>
    <row r="4326" spans="1:3" x14ac:dyDescent="0.25">
      <c r="A4326" s="8"/>
      <c r="B4326" s="9"/>
      <c r="C4326" s="8"/>
    </row>
    <row r="4327" spans="1:3" x14ac:dyDescent="0.25">
      <c r="A4327" s="8"/>
      <c r="B4327" s="9"/>
      <c r="C4327" s="8"/>
    </row>
    <row r="4328" spans="1:3" x14ac:dyDescent="0.25">
      <c r="A4328" s="8"/>
      <c r="B4328" s="9"/>
      <c r="C4328" s="8"/>
    </row>
    <row r="4329" spans="1:3" x14ac:dyDescent="0.25">
      <c r="A4329" s="8"/>
      <c r="B4329" s="9"/>
      <c r="C4329" s="8"/>
    </row>
    <row r="4330" spans="1:3" x14ac:dyDescent="0.25">
      <c r="A4330" s="8"/>
      <c r="B4330" s="9"/>
      <c r="C4330" s="8"/>
    </row>
    <row r="4331" spans="1:3" x14ac:dyDescent="0.25">
      <c r="A4331" s="8"/>
      <c r="B4331" s="9"/>
      <c r="C4331" s="8"/>
    </row>
    <row r="4332" spans="1:3" x14ac:dyDescent="0.25">
      <c r="A4332" s="8"/>
      <c r="B4332" s="9"/>
      <c r="C4332" s="8"/>
    </row>
    <row r="4333" spans="1:3" x14ac:dyDescent="0.25">
      <c r="A4333" s="8"/>
      <c r="B4333" s="9"/>
      <c r="C4333" s="8"/>
    </row>
    <row r="4334" spans="1:3" x14ac:dyDescent="0.25">
      <c r="A4334" s="8"/>
      <c r="B4334" s="9"/>
      <c r="C4334" s="8"/>
    </row>
    <row r="4335" spans="1:3" x14ac:dyDescent="0.25">
      <c r="A4335" s="8"/>
      <c r="B4335" s="9"/>
      <c r="C4335" s="8"/>
    </row>
    <row r="4336" spans="1:3" x14ac:dyDescent="0.25">
      <c r="A4336" s="8"/>
      <c r="B4336" s="9"/>
      <c r="C4336" s="8"/>
    </row>
    <row r="4337" spans="1:3" x14ac:dyDescent="0.25">
      <c r="A4337" s="8"/>
      <c r="B4337" s="9"/>
      <c r="C4337" s="8"/>
    </row>
    <row r="4338" spans="1:3" x14ac:dyDescent="0.25">
      <c r="A4338" s="8"/>
      <c r="B4338" s="9"/>
      <c r="C4338" s="8"/>
    </row>
    <row r="4339" spans="1:3" x14ac:dyDescent="0.25">
      <c r="A4339" s="8"/>
      <c r="B4339" s="9"/>
      <c r="C4339" s="8"/>
    </row>
    <row r="4340" spans="1:3" x14ac:dyDescent="0.25">
      <c r="A4340" s="8"/>
      <c r="B4340" s="9"/>
      <c r="C4340" s="8"/>
    </row>
    <row r="4341" spans="1:3" x14ac:dyDescent="0.25">
      <c r="A4341" s="8"/>
      <c r="B4341" s="9"/>
      <c r="C4341" s="8"/>
    </row>
    <row r="4342" spans="1:3" x14ac:dyDescent="0.25">
      <c r="A4342" s="8"/>
      <c r="B4342" s="9"/>
      <c r="C4342" s="8"/>
    </row>
    <row r="4343" spans="1:3" x14ac:dyDescent="0.25">
      <c r="A4343" s="8"/>
      <c r="B4343" s="9"/>
      <c r="C4343" s="8"/>
    </row>
    <row r="4344" spans="1:3" x14ac:dyDescent="0.25">
      <c r="A4344" s="8"/>
      <c r="B4344" s="9"/>
      <c r="C4344" s="8"/>
    </row>
    <row r="4345" spans="1:3" x14ac:dyDescent="0.25">
      <c r="A4345" s="8"/>
      <c r="B4345" s="9"/>
      <c r="C4345" s="8"/>
    </row>
    <row r="4346" spans="1:3" x14ac:dyDescent="0.25">
      <c r="A4346" s="8"/>
      <c r="B4346" s="9"/>
      <c r="C4346" s="8"/>
    </row>
    <row r="4347" spans="1:3" x14ac:dyDescent="0.25">
      <c r="A4347" s="8"/>
      <c r="B4347" s="9"/>
      <c r="C4347" s="8"/>
    </row>
    <row r="4348" spans="1:3" x14ac:dyDescent="0.25">
      <c r="A4348" s="8"/>
      <c r="B4348" s="9"/>
      <c r="C4348" s="8"/>
    </row>
    <row r="4349" spans="1:3" x14ac:dyDescent="0.25">
      <c r="A4349" s="8"/>
      <c r="B4349" s="9"/>
      <c r="C4349" s="8"/>
    </row>
    <row r="4350" spans="1:3" x14ac:dyDescent="0.25">
      <c r="A4350" s="8"/>
      <c r="B4350" s="9"/>
      <c r="C4350" s="8"/>
    </row>
    <row r="4351" spans="1:3" x14ac:dyDescent="0.25">
      <c r="A4351" s="8"/>
      <c r="B4351" s="9"/>
      <c r="C4351" s="8"/>
    </row>
    <row r="4352" spans="1:3" x14ac:dyDescent="0.25">
      <c r="A4352" s="8"/>
      <c r="B4352" s="9"/>
      <c r="C4352" s="8"/>
    </row>
    <row r="4353" spans="1:3" x14ac:dyDescent="0.25">
      <c r="A4353" s="8"/>
      <c r="B4353" s="9"/>
      <c r="C4353" s="8"/>
    </row>
    <row r="4354" spans="1:3" x14ac:dyDescent="0.25">
      <c r="A4354" s="8"/>
      <c r="B4354" s="9"/>
      <c r="C4354" s="8"/>
    </row>
    <row r="4355" spans="1:3" x14ac:dyDescent="0.25">
      <c r="A4355" s="8"/>
      <c r="B4355" s="9"/>
      <c r="C4355" s="8"/>
    </row>
    <row r="4356" spans="1:3" x14ac:dyDescent="0.25">
      <c r="A4356" s="8"/>
      <c r="B4356" s="9"/>
      <c r="C4356" s="8"/>
    </row>
    <row r="4357" spans="1:3" x14ac:dyDescent="0.25">
      <c r="A4357" s="8"/>
      <c r="B4357" s="9"/>
      <c r="C4357" s="8"/>
    </row>
    <row r="4358" spans="1:3" x14ac:dyDescent="0.25">
      <c r="A4358" s="8"/>
      <c r="B4358" s="9"/>
      <c r="C4358" s="8"/>
    </row>
    <row r="4359" spans="1:3" x14ac:dyDescent="0.25">
      <c r="A4359" s="8"/>
      <c r="B4359" s="9"/>
      <c r="C4359" s="8"/>
    </row>
    <row r="4360" spans="1:3" x14ac:dyDescent="0.25">
      <c r="A4360" s="8"/>
      <c r="B4360" s="9"/>
      <c r="C4360" s="8"/>
    </row>
    <row r="4361" spans="1:3" x14ac:dyDescent="0.25">
      <c r="A4361" s="8"/>
      <c r="B4361" s="9"/>
      <c r="C4361" s="8"/>
    </row>
    <row r="4362" spans="1:3" x14ac:dyDescent="0.25">
      <c r="A4362" s="8"/>
      <c r="B4362" s="9"/>
      <c r="C4362" s="8"/>
    </row>
    <row r="4363" spans="1:3" x14ac:dyDescent="0.25">
      <c r="A4363" s="8"/>
      <c r="B4363" s="9"/>
      <c r="C4363" s="8"/>
    </row>
    <row r="4364" spans="1:3" x14ac:dyDescent="0.25">
      <c r="A4364" s="8"/>
      <c r="B4364" s="9"/>
      <c r="C4364" s="8"/>
    </row>
    <row r="4365" spans="1:3" x14ac:dyDescent="0.25">
      <c r="A4365" s="8"/>
      <c r="B4365" s="9"/>
      <c r="C4365" s="8"/>
    </row>
    <row r="4366" spans="1:3" x14ac:dyDescent="0.25">
      <c r="A4366" s="8"/>
      <c r="B4366" s="9"/>
      <c r="C4366" s="8"/>
    </row>
    <row r="4367" spans="1:3" x14ac:dyDescent="0.25">
      <c r="A4367" s="8"/>
      <c r="B4367" s="9"/>
      <c r="C4367" s="8"/>
    </row>
    <row r="4368" spans="1:3" x14ac:dyDescent="0.25">
      <c r="A4368" s="8"/>
      <c r="B4368" s="9"/>
      <c r="C4368" s="8"/>
    </row>
    <row r="4369" spans="1:3" x14ac:dyDescent="0.25">
      <c r="A4369" s="8"/>
      <c r="B4369" s="9"/>
      <c r="C4369" s="8"/>
    </row>
    <row r="4370" spans="1:3" x14ac:dyDescent="0.25">
      <c r="A4370" s="8"/>
      <c r="B4370" s="9"/>
      <c r="C4370" s="8"/>
    </row>
    <row r="4371" spans="1:3" x14ac:dyDescent="0.25">
      <c r="A4371" s="8"/>
      <c r="B4371" s="9"/>
      <c r="C4371" s="8"/>
    </row>
    <row r="4372" spans="1:3" x14ac:dyDescent="0.25">
      <c r="A4372" s="8"/>
      <c r="B4372" s="9"/>
      <c r="C4372" s="8"/>
    </row>
    <row r="4373" spans="1:3" x14ac:dyDescent="0.25">
      <c r="A4373" s="8"/>
      <c r="B4373" s="9"/>
      <c r="C4373" s="8"/>
    </row>
    <row r="4374" spans="1:3" x14ac:dyDescent="0.25">
      <c r="A4374" s="8"/>
      <c r="B4374" s="9"/>
      <c r="C4374" s="8"/>
    </row>
    <row r="4375" spans="1:3" x14ac:dyDescent="0.25">
      <c r="A4375" s="8"/>
      <c r="B4375" s="9"/>
      <c r="C4375" s="8"/>
    </row>
    <row r="4376" spans="1:3" x14ac:dyDescent="0.25">
      <c r="A4376" s="8"/>
      <c r="B4376" s="9"/>
      <c r="C4376" s="8"/>
    </row>
    <row r="4377" spans="1:3" x14ac:dyDescent="0.25">
      <c r="A4377" s="8"/>
      <c r="B4377" s="9"/>
      <c r="C4377" s="8"/>
    </row>
    <row r="4378" spans="1:3" x14ac:dyDescent="0.25">
      <c r="A4378" s="8"/>
      <c r="B4378" s="9"/>
      <c r="C4378" s="8"/>
    </row>
    <row r="4379" spans="1:3" x14ac:dyDescent="0.25">
      <c r="A4379" s="8"/>
      <c r="B4379" s="9"/>
      <c r="C4379" s="8"/>
    </row>
    <row r="4380" spans="1:3" x14ac:dyDescent="0.25">
      <c r="A4380" s="8"/>
      <c r="B4380" s="9"/>
      <c r="C4380" s="8"/>
    </row>
    <row r="4381" spans="1:3" x14ac:dyDescent="0.25">
      <c r="A4381" s="8"/>
      <c r="B4381" s="9"/>
      <c r="C4381" s="8"/>
    </row>
    <row r="4382" spans="1:3" x14ac:dyDescent="0.25">
      <c r="A4382" s="8"/>
      <c r="B4382" s="9"/>
      <c r="C4382" s="8"/>
    </row>
    <row r="4383" spans="1:3" x14ac:dyDescent="0.25">
      <c r="A4383" s="8"/>
      <c r="B4383" s="9"/>
      <c r="C4383" s="8"/>
    </row>
    <row r="4384" spans="1:3" x14ac:dyDescent="0.25">
      <c r="A4384" s="8"/>
      <c r="B4384" s="9"/>
      <c r="C4384" s="8"/>
    </row>
    <row r="4385" spans="1:3" x14ac:dyDescent="0.25">
      <c r="A4385" s="8"/>
      <c r="B4385" s="9"/>
      <c r="C4385" s="8"/>
    </row>
    <row r="4386" spans="1:3" x14ac:dyDescent="0.25">
      <c r="A4386" s="8"/>
      <c r="B4386" s="9"/>
      <c r="C4386" s="8"/>
    </row>
    <row r="4387" spans="1:3" x14ac:dyDescent="0.25">
      <c r="A4387" s="8"/>
      <c r="B4387" s="9"/>
      <c r="C4387" s="8"/>
    </row>
    <row r="4388" spans="1:3" x14ac:dyDescent="0.25">
      <c r="A4388" s="8"/>
      <c r="B4388" s="9"/>
      <c r="C4388" s="8"/>
    </row>
    <row r="4389" spans="1:3" x14ac:dyDescent="0.25">
      <c r="A4389" s="8"/>
      <c r="B4389" s="9"/>
      <c r="C4389" s="8"/>
    </row>
    <row r="4390" spans="1:3" x14ac:dyDescent="0.25">
      <c r="A4390" s="8"/>
      <c r="B4390" s="9"/>
      <c r="C4390" s="8"/>
    </row>
    <row r="4391" spans="1:3" x14ac:dyDescent="0.25">
      <c r="A4391" s="8"/>
      <c r="B4391" s="9"/>
      <c r="C4391" s="8"/>
    </row>
    <row r="4392" spans="1:3" x14ac:dyDescent="0.25">
      <c r="A4392" s="8"/>
      <c r="B4392" s="9"/>
      <c r="C4392" s="8"/>
    </row>
    <row r="4393" spans="1:3" x14ac:dyDescent="0.25">
      <c r="A4393" s="8"/>
      <c r="B4393" s="9"/>
      <c r="C4393" s="8"/>
    </row>
    <row r="4394" spans="1:3" x14ac:dyDescent="0.25">
      <c r="A4394" s="8"/>
      <c r="B4394" s="9"/>
      <c r="C4394" s="8"/>
    </row>
    <row r="4395" spans="1:3" x14ac:dyDescent="0.25">
      <c r="A4395" s="8"/>
      <c r="B4395" s="9"/>
      <c r="C4395" s="8"/>
    </row>
    <row r="4396" spans="1:3" x14ac:dyDescent="0.25">
      <c r="A4396" s="8"/>
      <c r="B4396" s="9"/>
      <c r="C4396" s="8"/>
    </row>
    <row r="4397" spans="1:3" x14ac:dyDescent="0.25">
      <c r="A4397" s="8"/>
      <c r="B4397" s="9"/>
      <c r="C4397" s="8"/>
    </row>
    <row r="4398" spans="1:3" x14ac:dyDescent="0.25">
      <c r="A4398" s="8"/>
      <c r="B4398" s="9"/>
      <c r="C4398" s="8"/>
    </row>
    <row r="4399" spans="1:3" x14ac:dyDescent="0.25">
      <c r="A4399" s="8"/>
      <c r="B4399" s="9"/>
      <c r="C4399" s="8"/>
    </row>
    <row r="4400" spans="1:3" x14ac:dyDescent="0.25">
      <c r="A4400" s="8"/>
      <c r="B4400" s="9"/>
      <c r="C4400" s="8"/>
    </row>
    <row r="4401" spans="1:3" x14ac:dyDescent="0.25">
      <c r="A4401" s="8"/>
      <c r="B4401" s="9"/>
      <c r="C4401" s="8"/>
    </row>
    <row r="4402" spans="1:3" x14ac:dyDescent="0.25">
      <c r="A4402" s="8"/>
      <c r="B4402" s="9"/>
      <c r="C4402" s="8"/>
    </row>
    <row r="4403" spans="1:3" x14ac:dyDescent="0.25">
      <c r="A4403" s="8"/>
      <c r="B4403" s="9"/>
      <c r="C4403" s="8"/>
    </row>
    <row r="4404" spans="1:3" x14ac:dyDescent="0.25">
      <c r="A4404" s="8"/>
      <c r="B4404" s="9"/>
      <c r="C4404" s="8"/>
    </row>
    <row r="4405" spans="1:3" x14ac:dyDescent="0.25">
      <c r="A4405" s="8"/>
      <c r="B4405" s="9"/>
      <c r="C4405" s="8"/>
    </row>
    <row r="4406" spans="1:3" x14ac:dyDescent="0.25">
      <c r="A4406" s="8"/>
      <c r="B4406" s="9"/>
      <c r="C4406" s="8"/>
    </row>
    <row r="4407" spans="1:3" x14ac:dyDescent="0.25">
      <c r="A4407" s="8"/>
      <c r="B4407" s="9"/>
      <c r="C4407" s="8"/>
    </row>
    <row r="4408" spans="1:3" x14ac:dyDescent="0.25">
      <c r="A4408" s="8"/>
      <c r="B4408" s="9"/>
      <c r="C4408" s="8"/>
    </row>
    <row r="4409" spans="1:3" x14ac:dyDescent="0.25">
      <c r="A4409" s="8"/>
      <c r="B4409" s="9"/>
      <c r="C4409" s="8"/>
    </row>
    <row r="4410" spans="1:3" x14ac:dyDescent="0.25">
      <c r="A4410" s="8"/>
      <c r="B4410" s="9"/>
      <c r="C4410" s="8"/>
    </row>
    <row r="4411" spans="1:3" x14ac:dyDescent="0.25">
      <c r="A4411" s="8"/>
      <c r="B4411" s="9"/>
      <c r="C4411" s="8"/>
    </row>
    <row r="4412" spans="1:3" x14ac:dyDescent="0.25">
      <c r="A4412" s="8"/>
      <c r="B4412" s="9"/>
      <c r="C4412" s="8"/>
    </row>
    <row r="4413" spans="1:3" x14ac:dyDescent="0.25">
      <c r="A4413" s="8"/>
      <c r="B4413" s="9"/>
      <c r="C4413" s="8"/>
    </row>
    <row r="4414" spans="1:3" x14ac:dyDescent="0.25">
      <c r="A4414" s="8"/>
      <c r="B4414" s="9"/>
      <c r="C4414" s="8"/>
    </row>
    <row r="4415" spans="1:3" x14ac:dyDescent="0.25">
      <c r="A4415" s="8"/>
      <c r="B4415" s="9"/>
      <c r="C4415" s="8"/>
    </row>
    <row r="4416" spans="1:3" x14ac:dyDescent="0.25">
      <c r="A4416" s="8"/>
      <c r="B4416" s="9"/>
      <c r="C4416" s="8"/>
    </row>
    <row r="4417" spans="1:3" x14ac:dyDescent="0.25">
      <c r="A4417" s="8"/>
      <c r="B4417" s="9"/>
      <c r="C4417" s="8"/>
    </row>
    <row r="4418" spans="1:3" x14ac:dyDescent="0.25">
      <c r="A4418" s="8"/>
      <c r="B4418" s="9"/>
      <c r="C4418" s="8"/>
    </row>
    <row r="4419" spans="1:3" x14ac:dyDescent="0.25">
      <c r="A4419" s="8"/>
      <c r="B4419" s="9"/>
      <c r="C4419" s="8"/>
    </row>
    <row r="4420" spans="1:3" x14ac:dyDescent="0.25">
      <c r="A4420" s="8"/>
      <c r="B4420" s="9"/>
      <c r="C4420" s="8"/>
    </row>
    <row r="4421" spans="1:3" x14ac:dyDescent="0.25">
      <c r="A4421" s="8"/>
      <c r="B4421" s="9"/>
      <c r="C4421" s="8"/>
    </row>
    <row r="4422" spans="1:3" x14ac:dyDescent="0.25">
      <c r="A4422" s="8"/>
      <c r="B4422" s="9"/>
      <c r="C4422" s="8"/>
    </row>
    <row r="4423" spans="1:3" x14ac:dyDescent="0.25">
      <c r="A4423" s="8"/>
      <c r="B4423" s="9"/>
      <c r="C4423" s="8"/>
    </row>
    <row r="4424" spans="1:3" x14ac:dyDescent="0.25">
      <c r="A4424" s="8"/>
      <c r="B4424" s="9"/>
      <c r="C4424" s="8"/>
    </row>
    <row r="4425" spans="1:3" x14ac:dyDescent="0.25">
      <c r="A4425" s="8"/>
      <c r="B4425" s="9"/>
      <c r="C4425" s="8"/>
    </row>
    <row r="4426" spans="1:3" x14ac:dyDescent="0.25">
      <c r="A4426" s="8"/>
      <c r="B4426" s="9"/>
      <c r="C4426" s="8"/>
    </row>
    <row r="4427" spans="1:3" x14ac:dyDescent="0.25">
      <c r="A4427" s="8"/>
      <c r="B4427" s="9"/>
      <c r="C4427" s="8"/>
    </row>
    <row r="4428" spans="1:3" x14ac:dyDescent="0.25">
      <c r="A4428" s="8"/>
      <c r="B4428" s="9"/>
      <c r="C4428" s="8"/>
    </row>
    <row r="4429" spans="1:3" x14ac:dyDescent="0.25">
      <c r="A4429" s="8"/>
      <c r="B4429" s="9"/>
      <c r="C4429" s="8"/>
    </row>
    <row r="4430" spans="1:3" x14ac:dyDescent="0.25">
      <c r="A4430" s="8"/>
      <c r="B4430" s="9"/>
      <c r="C4430" s="8"/>
    </row>
    <row r="4431" spans="1:3" x14ac:dyDescent="0.25">
      <c r="A4431" s="8"/>
      <c r="B4431" s="9"/>
      <c r="C4431" s="8"/>
    </row>
    <row r="4432" spans="1:3" x14ac:dyDescent="0.25">
      <c r="A4432" s="8"/>
      <c r="B4432" s="9"/>
      <c r="C4432" s="8"/>
    </row>
    <row r="4433" spans="1:3" x14ac:dyDescent="0.25">
      <c r="A4433" s="8"/>
      <c r="B4433" s="9"/>
      <c r="C4433" s="8"/>
    </row>
    <row r="4434" spans="1:3" x14ac:dyDescent="0.25">
      <c r="A4434" s="8"/>
      <c r="B4434" s="9"/>
      <c r="C4434" s="8"/>
    </row>
    <row r="4435" spans="1:3" x14ac:dyDescent="0.25">
      <c r="A4435" s="8"/>
      <c r="B4435" s="9"/>
      <c r="C4435" s="8"/>
    </row>
    <row r="4436" spans="1:3" x14ac:dyDescent="0.25">
      <c r="A4436" s="8"/>
      <c r="B4436" s="9"/>
      <c r="C4436" s="8"/>
    </row>
    <row r="4437" spans="1:3" x14ac:dyDescent="0.25">
      <c r="A4437" s="8"/>
      <c r="B4437" s="9"/>
      <c r="C4437" s="8"/>
    </row>
    <row r="4438" spans="1:3" x14ac:dyDescent="0.25">
      <c r="A4438" s="8"/>
      <c r="B4438" s="9"/>
      <c r="C4438" s="8"/>
    </row>
    <row r="4439" spans="1:3" x14ac:dyDescent="0.25">
      <c r="A4439" s="8"/>
      <c r="B4439" s="9"/>
      <c r="C4439" s="8"/>
    </row>
    <row r="4440" spans="1:3" x14ac:dyDescent="0.25">
      <c r="A4440" s="8"/>
      <c r="B4440" s="9"/>
      <c r="C4440" s="8"/>
    </row>
    <row r="4441" spans="1:3" x14ac:dyDescent="0.25">
      <c r="A4441" s="8"/>
      <c r="B4441" s="9"/>
      <c r="C4441" s="8"/>
    </row>
    <row r="4442" spans="1:3" x14ac:dyDescent="0.25">
      <c r="A4442" s="8"/>
      <c r="B4442" s="9"/>
      <c r="C4442" s="8"/>
    </row>
    <row r="4443" spans="1:3" x14ac:dyDescent="0.25">
      <c r="A4443" s="8"/>
      <c r="B4443" s="9"/>
      <c r="C4443" s="8"/>
    </row>
    <row r="4444" spans="1:3" x14ac:dyDescent="0.25">
      <c r="A4444" s="8"/>
      <c r="B4444" s="9"/>
      <c r="C4444" s="8"/>
    </row>
    <row r="4445" spans="1:3" x14ac:dyDescent="0.25">
      <c r="A4445" s="8"/>
      <c r="B4445" s="9"/>
      <c r="C4445" s="8"/>
    </row>
    <row r="4446" spans="1:3" x14ac:dyDescent="0.25">
      <c r="A4446" s="8"/>
      <c r="B4446" s="9"/>
      <c r="C4446" s="8"/>
    </row>
    <row r="4447" spans="1:3" x14ac:dyDescent="0.25">
      <c r="A4447" s="8"/>
      <c r="B4447" s="9"/>
      <c r="C4447" s="8"/>
    </row>
    <row r="4448" spans="1:3" x14ac:dyDescent="0.25">
      <c r="A4448" s="8"/>
      <c r="B4448" s="9"/>
      <c r="C4448" s="8"/>
    </row>
    <row r="4449" spans="1:3" x14ac:dyDescent="0.25">
      <c r="A4449" s="8"/>
      <c r="B4449" s="9"/>
      <c r="C4449" s="8"/>
    </row>
    <row r="4450" spans="1:3" x14ac:dyDescent="0.25">
      <c r="A4450" s="8"/>
      <c r="B4450" s="9"/>
      <c r="C4450" s="8"/>
    </row>
    <row r="4451" spans="1:3" x14ac:dyDescent="0.25">
      <c r="A4451" s="8"/>
      <c r="B4451" s="9"/>
      <c r="C4451" s="8"/>
    </row>
    <row r="4452" spans="1:3" x14ac:dyDescent="0.25">
      <c r="A4452" s="8"/>
      <c r="B4452" s="9"/>
      <c r="C4452" s="8"/>
    </row>
    <row r="4453" spans="1:3" x14ac:dyDescent="0.25">
      <c r="A4453" s="8"/>
      <c r="B4453" s="9"/>
      <c r="C4453" s="8"/>
    </row>
    <row r="4454" spans="1:3" x14ac:dyDescent="0.25">
      <c r="A4454" s="8"/>
      <c r="B4454" s="9"/>
      <c r="C4454" s="8"/>
    </row>
    <row r="4455" spans="1:3" x14ac:dyDescent="0.25">
      <c r="A4455" s="8"/>
      <c r="B4455" s="9"/>
      <c r="C4455" s="8"/>
    </row>
    <row r="4456" spans="1:3" x14ac:dyDescent="0.25">
      <c r="A4456" s="8"/>
      <c r="B4456" s="9"/>
      <c r="C4456" s="8"/>
    </row>
    <row r="4457" spans="1:3" x14ac:dyDescent="0.25">
      <c r="A4457" s="8"/>
      <c r="B4457" s="9"/>
      <c r="C4457" s="8"/>
    </row>
    <row r="4458" spans="1:3" x14ac:dyDescent="0.25">
      <c r="A4458" s="8"/>
      <c r="B4458" s="9"/>
      <c r="C4458" s="8"/>
    </row>
    <row r="4459" spans="1:3" x14ac:dyDescent="0.25">
      <c r="A4459" s="8"/>
      <c r="B4459" s="9"/>
      <c r="C4459" s="8"/>
    </row>
    <row r="4460" spans="1:3" x14ac:dyDescent="0.25">
      <c r="A4460" s="8"/>
      <c r="B4460" s="9"/>
      <c r="C4460" s="8"/>
    </row>
    <row r="4461" spans="1:3" x14ac:dyDescent="0.25">
      <c r="A4461" s="8"/>
      <c r="B4461" s="9"/>
      <c r="C4461" s="8"/>
    </row>
    <row r="4462" spans="1:3" x14ac:dyDescent="0.25">
      <c r="A4462" s="8"/>
      <c r="B4462" s="9"/>
      <c r="C4462" s="8"/>
    </row>
    <row r="4463" spans="1:3" x14ac:dyDescent="0.25">
      <c r="A4463" s="8"/>
      <c r="B4463" s="9"/>
      <c r="C4463" s="8"/>
    </row>
    <row r="4464" spans="1:3" x14ac:dyDescent="0.25">
      <c r="A4464" s="8"/>
      <c r="B4464" s="9"/>
      <c r="C4464" s="8"/>
    </row>
    <row r="4465" spans="1:3" x14ac:dyDescent="0.25">
      <c r="A4465" s="8"/>
      <c r="B4465" s="9"/>
      <c r="C4465" s="8"/>
    </row>
    <row r="4466" spans="1:3" x14ac:dyDescent="0.25">
      <c r="A4466" s="8"/>
      <c r="B4466" s="9"/>
      <c r="C4466" s="8"/>
    </row>
    <row r="4467" spans="1:3" x14ac:dyDescent="0.25">
      <c r="A4467" s="8"/>
      <c r="B4467" s="9"/>
      <c r="C4467" s="8"/>
    </row>
    <row r="4468" spans="1:3" x14ac:dyDescent="0.25">
      <c r="A4468" s="8"/>
      <c r="B4468" s="9"/>
      <c r="C4468" s="8"/>
    </row>
    <row r="4469" spans="1:3" x14ac:dyDescent="0.25">
      <c r="A4469" s="8"/>
      <c r="B4469" s="9"/>
      <c r="C4469" s="8"/>
    </row>
    <row r="4470" spans="1:3" x14ac:dyDescent="0.25">
      <c r="A4470" s="8"/>
      <c r="B4470" s="9"/>
      <c r="C4470" s="8"/>
    </row>
    <row r="4471" spans="1:3" x14ac:dyDescent="0.25">
      <c r="A4471" s="8"/>
      <c r="B4471" s="9"/>
      <c r="C4471" s="8"/>
    </row>
    <row r="4472" spans="1:3" x14ac:dyDescent="0.25">
      <c r="A4472" s="8"/>
      <c r="B4472" s="9"/>
      <c r="C4472" s="8"/>
    </row>
    <row r="4473" spans="1:3" x14ac:dyDescent="0.25">
      <c r="A4473" s="8"/>
      <c r="B4473" s="9"/>
      <c r="C4473" s="8"/>
    </row>
    <row r="4474" spans="1:3" x14ac:dyDescent="0.25">
      <c r="A4474" s="8"/>
      <c r="B4474" s="9"/>
      <c r="C4474" s="8"/>
    </row>
    <row r="4475" spans="1:3" x14ac:dyDescent="0.25">
      <c r="A4475" s="8"/>
      <c r="B4475" s="9"/>
      <c r="C4475" s="8"/>
    </row>
    <row r="4476" spans="1:3" x14ac:dyDescent="0.25">
      <c r="A4476" s="8"/>
      <c r="B4476" s="9"/>
      <c r="C4476" s="8"/>
    </row>
    <row r="4477" spans="1:3" x14ac:dyDescent="0.25">
      <c r="A4477" s="8"/>
      <c r="B4477" s="9"/>
      <c r="C4477" s="8"/>
    </row>
    <row r="4478" spans="1:3" x14ac:dyDescent="0.25">
      <c r="A4478" s="8"/>
      <c r="B4478" s="9"/>
      <c r="C4478" s="8"/>
    </row>
    <row r="4479" spans="1:3" x14ac:dyDescent="0.25">
      <c r="A4479" s="8"/>
      <c r="B4479" s="9"/>
      <c r="C4479" s="8"/>
    </row>
    <row r="4480" spans="1:3" x14ac:dyDescent="0.25">
      <c r="A4480" s="8"/>
      <c r="B4480" s="9"/>
      <c r="C4480" s="8"/>
    </row>
    <row r="4481" spans="1:3" x14ac:dyDescent="0.25">
      <c r="A4481" s="8"/>
      <c r="B4481" s="9"/>
      <c r="C4481" s="8"/>
    </row>
    <row r="4482" spans="1:3" x14ac:dyDescent="0.25">
      <c r="A4482" s="8"/>
      <c r="B4482" s="9"/>
      <c r="C4482" s="8"/>
    </row>
    <row r="4483" spans="1:3" x14ac:dyDescent="0.25">
      <c r="A4483" s="8"/>
      <c r="B4483" s="9"/>
      <c r="C4483" s="8"/>
    </row>
    <row r="4484" spans="1:3" x14ac:dyDescent="0.25">
      <c r="A4484" s="8"/>
      <c r="B4484" s="9"/>
      <c r="C4484" s="8"/>
    </row>
    <row r="4485" spans="1:3" x14ac:dyDescent="0.25">
      <c r="A4485" s="8"/>
      <c r="B4485" s="9"/>
      <c r="C4485" s="8"/>
    </row>
    <row r="4486" spans="1:3" x14ac:dyDescent="0.25">
      <c r="A4486" s="8"/>
      <c r="B4486" s="9"/>
      <c r="C4486" s="8"/>
    </row>
    <row r="4487" spans="1:3" x14ac:dyDescent="0.25">
      <c r="A4487" s="8"/>
      <c r="B4487" s="9"/>
      <c r="C4487" s="8"/>
    </row>
    <row r="4488" spans="1:3" x14ac:dyDescent="0.25">
      <c r="A4488" s="8"/>
      <c r="B4488" s="9"/>
      <c r="C4488" s="8"/>
    </row>
    <row r="4489" spans="1:3" x14ac:dyDescent="0.25">
      <c r="A4489" s="8"/>
      <c r="B4489" s="9"/>
      <c r="C4489" s="8"/>
    </row>
    <row r="4490" spans="1:3" x14ac:dyDescent="0.25">
      <c r="A4490" s="8"/>
      <c r="B4490" s="9"/>
      <c r="C4490" s="8"/>
    </row>
    <row r="4491" spans="1:3" x14ac:dyDescent="0.25">
      <c r="A4491" s="8"/>
      <c r="B4491" s="9"/>
      <c r="C4491" s="8"/>
    </row>
    <row r="4492" spans="1:3" x14ac:dyDescent="0.25">
      <c r="A4492" s="8"/>
      <c r="B4492" s="9"/>
      <c r="C4492" s="8"/>
    </row>
    <row r="4493" spans="1:3" x14ac:dyDescent="0.25">
      <c r="A4493" s="8"/>
      <c r="B4493" s="9"/>
      <c r="C4493" s="8"/>
    </row>
    <row r="4494" spans="1:3" x14ac:dyDescent="0.25">
      <c r="A4494" s="8"/>
      <c r="B4494" s="9"/>
      <c r="C4494" s="8"/>
    </row>
    <row r="4495" spans="1:3" x14ac:dyDescent="0.25">
      <c r="A4495" s="8"/>
      <c r="B4495" s="9"/>
      <c r="C4495" s="8"/>
    </row>
    <row r="4496" spans="1:3" x14ac:dyDescent="0.25">
      <c r="A4496" s="8"/>
      <c r="B4496" s="9"/>
      <c r="C4496" s="8"/>
    </row>
    <row r="4497" spans="1:3" x14ac:dyDescent="0.25">
      <c r="A4497" s="8"/>
      <c r="B4497" s="9"/>
      <c r="C4497" s="8"/>
    </row>
    <row r="4498" spans="1:3" x14ac:dyDescent="0.25">
      <c r="A4498" s="8"/>
      <c r="B4498" s="9"/>
      <c r="C4498" s="8"/>
    </row>
    <row r="4499" spans="1:3" x14ac:dyDescent="0.25">
      <c r="A4499" s="8"/>
      <c r="B4499" s="9"/>
      <c r="C4499" s="8"/>
    </row>
    <row r="4500" spans="1:3" x14ac:dyDescent="0.25">
      <c r="A4500" s="8"/>
      <c r="B4500" s="9"/>
      <c r="C4500" s="8"/>
    </row>
    <row r="4501" spans="1:3" x14ac:dyDescent="0.25">
      <c r="A4501" s="8"/>
      <c r="B4501" s="9"/>
      <c r="C4501" s="8"/>
    </row>
    <row r="4502" spans="1:3" x14ac:dyDescent="0.25">
      <c r="A4502" s="8"/>
      <c r="B4502" s="9"/>
      <c r="C4502" s="8"/>
    </row>
    <row r="4503" spans="1:3" x14ac:dyDescent="0.25">
      <c r="A4503" s="8"/>
      <c r="B4503" s="9"/>
      <c r="C4503" s="8"/>
    </row>
    <row r="4504" spans="1:3" x14ac:dyDescent="0.25">
      <c r="A4504" s="8"/>
      <c r="B4504" s="9"/>
      <c r="C4504" s="8"/>
    </row>
    <row r="4505" spans="1:3" x14ac:dyDescent="0.25">
      <c r="A4505" s="8"/>
      <c r="B4505" s="9"/>
      <c r="C4505" s="8"/>
    </row>
    <row r="4506" spans="1:3" x14ac:dyDescent="0.25">
      <c r="A4506" s="8"/>
      <c r="B4506" s="9"/>
      <c r="C4506" s="8"/>
    </row>
    <row r="4507" spans="1:3" x14ac:dyDescent="0.25">
      <c r="A4507" s="8"/>
      <c r="B4507" s="9"/>
      <c r="C4507" s="8"/>
    </row>
    <row r="4508" spans="1:3" x14ac:dyDescent="0.25">
      <c r="A4508" s="8"/>
      <c r="B4508" s="9"/>
      <c r="C4508" s="8"/>
    </row>
    <row r="4509" spans="1:3" x14ac:dyDescent="0.25">
      <c r="A4509" s="8"/>
      <c r="B4509" s="9"/>
      <c r="C4509" s="8"/>
    </row>
    <row r="4510" spans="1:3" x14ac:dyDescent="0.25">
      <c r="A4510" s="8"/>
      <c r="B4510" s="9"/>
      <c r="C4510" s="8"/>
    </row>
    <row r="4511" spans="1:3" x14ac:dyDescent="0.25">
      <c r="A4511" s="8"/>
      <c r="B4511" s="9"/>
      <c r="C4511" s="8"/>
    </row>
    <row r="4512" spans="1:3" x14ac:dyDescent="0.25">
      <c r="A4512" s="8"/>
      <c r="B4512" s="9"/>
      <c r="C4512" s="8"/>
    </row>
    <row r="4513" spans="1:3" x14ac:dyDescent="0.25">
      <c r="A4513" s="8"/>
      <c r="B4513" s="9"/>
      <c r="C4513" s="8"/>
    </row>
    <row r="4514" spans="1:3" x14ac:dyDescent="0.25">
      <c r="A4514" s="8"/>
      <c r="B4514" s="9"/>
      <c r="C4514" s="8"/>
    </row>
    <row r="4515" spans="1:3" x14ac:dyDescent="0.25">
      <c r="A4515" s="8"/>
      <c r="B4515" s="9"/>
      <c r="C4515" s="8"/>
    </row>
    <row r="4516" spans="1:3" x14ac:dyDescent="0.25">
      <c r="A4516" s="8"/>
      <c r="B4516" s="9"/>
      <c r="C4516" s="8"/>
    </row>
    <row r="4517" spans="1:3" x14ac:dyDescent="0.25">
      <c r="A4517" s="8"/>
      <c r="B4517" s="9"/>
      <c r="C4517" s="8"/>
    </row>
    <row r="4518" spans="1:3" x14ac:dyDescent="0.25">
      <c r="A4518" s="8"/>
      <c r="B4518" s="9"/>
      <c r="C4518" s="8"/>
    </row>
    <row r="4519" spans="1:3" x14ac:dyDescent="0.25">
      <c r="A4519" s="8"/>
      <c r="B4519" s="9"/>
      <c r="C4519" s="8"/>
    </row>
    <row r="4520" spans="1:3" x14ac:dyDescent="0.25">
      <c r="A4520" s="8"/>
      <c r="B4520" s="9"/>
      <c r="C4520" s="8"/>
    </row>
    <row r="4521" spans="1:3" x14ac:dyDescent="0.25">
      <c r="A4521" s="8"/>
      <c r="B4521" s="9"/>
      <c r="C4521" s="8"/>
    </row>
    <row r="4522" spans="1:3" x14ac:dyDescent="0.25">
      <c r="A4522" s="8"/>
      <c r="B4522" s="9"/>
      <c r="C4522" s="8"/>
    </row>
    <row r="4523" spans="1:3" x14ac:dyDescent="0.25">
      <c r="A4523" s="8"/>
      <c r="B4523" s="9"/>
      <c r="C4523" s="8"/>
    </row>
    <row r="4524" spans="1:3" x14ac:dyDescent="0.25">
      <c r="A4524" s="8"/>
      <c r="B4524" s="9"/>
      <c r="C4524" s="8"/>
    </row>
    <row r="4525" spans="1:3" x14ac:dyDescent="0.25">
      <c r="A4525" s="8"/>
      <c r="B4525" s="9"/>
      <c r="C4525" s="8"/>
    </row>
    <row r="4526" spans="1:3" x14ac:dyDescent="0.25">
      <c r="A4526" s="8"/>
      <c r="B4526" s="9"/>
      <c r="C4526" s="8"/>
    </row>
    <row r="4527" spans="1:3" x14ac:dyDescent="0.25">
      <c r="A4527" s="8"/>
      <c r="B4527" s="9"/>
      <c r="C4527" s="8"/>
    </row>
    <row r="4528" spans="1:3" x14ac:dyDescent="0.25">
      <c r="A4528" s="8"/>
      <c r="B4528" s="9"/>
      <c r="C4528" s="8"/>
    </row>
    <row r="4529" spans="1:3" x14ac:dyDescent="0.25">
      <c r="A4529" s="8"/>
      <c r="B4529" s="9"/>
      <c r="C4529" s="8"/>
    </row>
    <row r="4530" spans="1:3" x14ac:dyDescent="0.25">
      <c r="A4530" s="8"/>
      <c r="B4530" s="9"/>
      <c r="C4530" s="8"/>
    </row>
    <row r="4531" spans="1:3" x14ac:dyDescent="0.25">
      <c r="A4531" s="8"/>
      <c r="B4531" s="9"/>
      <c r="C4531" s="8"/>
    </row>
    <row r="4532" spans="1:3" x14ac:dyDescent="0.25">
      <c r="A4532" s="8"/>
      <c r="B4532" s="9"/>
      <c r="C4532" s="8"/>
    </row>
    <row r="4533" spans="1:3" x14ac:dyDescent="0.25">
      <c r="A4533" s="8"/>
      <c r="B4533" s="9"/>
      <c r="C4533" s="8"/>
    </row>
    <row r="4534" spans="1:3" x14ac:dyDescent="0.25">
      <c r="A4534" s="8"/>
      <c r="B4534" s="9"/>
      <c r="C4534" s="8"/>
    </row>
    <row r="4535" spans="1:3" x14ac:dyDescent="0.25">
      <c r="A4535" s="8"/>
      <c r="B4535" s="9"/>
      <c r="C4535" s="8"/>
    </row>
    <row r="4536" spans="1:3" x14ac:dyDescent="0.25">
      <c r="A4536" s="8"/>
      <c r="B4536" s="9"/>
      <c r="C4536" s="8"/>
    </row>
    <row r="4537" spans="1:3" x14ac:dyDescent="0.25">
      <c r="A4537" s="8"/>
      <c r="B4537" s="9"/>
      <c r="C4537" s="8"/>
    </row>
    <row r="4538" spans="1:3" x14ac:dyDescent="0.25">
      <c r="A4538" s="8"/>
      <c r="B4538" s="9"/>
      <c r="C4538" s="8"/>
    </row>
    <row r="4539" spans="1:3" x14ac:dyDescent="0.25">
      <c r="A4539" s="8"/>
      <c r="B4539" s="9"/>
      <c r="C4539" s="8"/>
    </row>
    <row r="4540" spans="1:3" x14ac:dyDescent="0.25">
      <c r="A4540" s="8"/>
      <c r="B4540" s="9"/>
      <c r="C4540" s="8"/>
    </row>
    <row r="4541" spans="1:3" x14ac:dyDescent="0.25">
      <c r="A4541" s="8"/>
      <c r="B4541" s="9"/>
      <c r="C4541" s="8"/>
    </row>
    <row r="4542" spans="1:3" x14ac:dyDescent="0.25">
      <c r="A4542" s="8"/>
      <c r="B4542" s="9"/>
      <c r="C4542" s="8"/>
    </row>
    <row r="4543" spans="1:3" x14ac:dyDescent="0.25">
      <c r="A4543" s="8"/>
      <c r="B4543" s="9"/>
      <c r="C4543" s="8"/>
    </row>
    <row r="4544" spans="1:3" x14ac:dyDescent="0.25">
      <c r="A4544" s="8"/>
      <c r="B4544" s="9"/>
      <c r="C4544" s="8"/>
    </row>
    <row r="4545" spans="1:3" x14ac:dyDescent="0.25">
      <c r="A4545" s="8"/>
      <c r="B4545" s="9"/>
      <c r="C4545" s="8"/>
    </row>
    <row r="4546" spans="1:3" x14ac:dyDescent="0.25">
      <c r="A4546" s="8"/>
      <c r="B4546" s="9"/>
      <c r="C4546" s="8"/>
    </row>
    <row r="4547" spans="1:3" x14ac:dyDescent="0.25">
      <c r="A4547" s="8"/>
      <c r="B4547" s="9"/>
      <c r="C4547" s="8"/>
    </row>
    <row r="4548" spans="1:3" x14ac:dyDescent="0.25">
      <c r="A4548" s="8"/>
      <c r="B4548" s="9"/>
      <c r="C4548" s="8"/>
    </row>
    <row r="4549" spans="1:3" x14ac:dyDescent="0.25">
      <c r="A4549" s="8"/>
      <c r="B4549" s="9"/>
      <c r="C4549" s="8"/>
    </row>
    <row r="4550" spans="1:3" x14ac:dyDescent="0.25">
      <c r="A4550" s="8"/>
      <c r="B4550" s="9"/>
      <c r="C4550" s="8"/>
    </row>
    <row r="4551" spans="1:3" x14ac:dyDescent="0.25">
      <c r="A4551" s="8"/>
      <c r="B4551" s="9"/>
      <c r="C4551" s="8"/>
    </row>
    <row r="4552" spans="1:3" x14ac:dyDescent="0.25">
      <c r="A4552" s="8"/>
      <c r="B4552" s="9"/>
      <c r="C4552" s="8"/>
    </row>
    <row r="4553" spans="1:3" x14ac:dyDescent="0.25">
      <c r="A4553" s="8"/>
      <c r="B4553" s="9"/>
      <c r="C4553" s="8"/>
    </row>
    <row r="4554" spans="1:3" x14ac:dyDescent="0.25">
      <c r="A4554" s="8"/>
      <c r="B4554" s="9"/>
      <c r="C4554" s="8"/>
    </row>
    <row r="4555" spans="1:3" x14ac:dyDescent="0.25">
      <c r="A4555" s="8"/>
      <c r="B4555" s="9"/>
      <c r="C4555" s="8"/>
    </row>
    <row r="4556" spans="1:3" x14ac:dyDescent="0.25">
      <c r="A4556" s="8"/>
      <c r="B4556" s="9"/>
      <c r="C4556" s="8"/>
    </row>
    <row r="4557" spans="1:3" x14ac:dyDescent="0.25">
      <c r="A4557" s="8"/>
      <c r="B4557" s="9"/>
      <c r="C4557" s="8"/>
    </row>
    <row r="4558" spans="1:3" x14ac:dyDescent="0.25">
      <c r="A4558" s="8"/>
      <c r="B4558" s="9"/>
      <c r="C4558" s="8"/>
    </row>
    <row r="4559" spans="1:3" x14ac:dyDescent="0.25">
      <c r="A4559" s="8"/>
      <c r="B4559" s="9"/>
      <c r="C4559" s="8"/>
    </row>
    <row r="4560" spans="1:3" x14ac:dyDescent="0.25">
      <c r="A4560" s="8"/>
      <c r="B4560" s="9"/>
      <c r="C4560" s="8"/>
    </row>
    <row r="4561" spans="1:3" x14ac:dyDescent="0.25">
      <c r="A4561" s="8"/>
      <c r="B4561" s="9"/>
      <c r="C4561" s="8"/>
    </row>
    <row r="4562" spans="1:3" x14ac:dyDescent="0.25">
      <c r="A4562" s="8"/>
      <c r="B4562" s="9"/>
      <c r="C4562" s="8"/>
    </row>
    <row r="4563" spans="1:3" x14ac:dyDescent="0.25">
      <c r="A4563" s="8"/>
      <c r="B4563" s="9"/>
      <c r="C4563" s="8"/>
    </row>
    <row r="4564" spans="1:3" x14ac:dyDescent="0.25">
      <c r="A4564" s="8"/>
      <c r="B4564" s="9"/>
      <c r="C4564" s="8"/>
    </row>
    <row r="4565" spans="1:3" x14ac:dyDescent="0.25">
      <c r="A4565" s="8"/>
      <c r="B4565" s="9"/>
      <c r="C4565" s="8"/>
    </row>
    <row r="4566" spans="1:3" x14ac:dyDescent="0.25">
      <c r="A4566" s="8"/>
      <c r="B4566" s="9"/>
      <c r="C4566" s="8"/>
    </row>
    <row r="4567" spans="1:3" x14ac:dyDescent="0.25">
      <c r="A4567" s="8"/>
      <c r="B4567" s="9"/>
      <c r="C4567" s="8"/>
    </row>
    <row r="4568" spans="1:3" x14ac:dyDescent="0.25">
      <c r="A4568" s="8"/>
      <c r="B4568" s="9"/>
      <c r="C4568" s="8"/>
    </row>
    <row r="4569" spans="1:3" x14ac:dyDescent="0.25">
      <c r="A4569" s="8"/>
      <c r="B4569" s="9"/>
      <c r="C4569" s="8"/>
    </row>
    <row r="4570" spans="1:3" x14ac:dyDescent="0.25">
      <c r="A4570" s="8"/>
      <c r="B4570" s="9"/>
      <c r="C4570" s="8"/>
    </row>
    <row r="4571" spans="1:3" x14ac:dyDescent="0.25">
      <c r="A4571" s="8"/>
      <c r="B4571" s="9"/>
      <c r="C4571" s="8"/>
    </row>
    <row r="4572" spans="1:3" x14ac:dyDescent="0.25">
      <c r="A4572" s="8"/>
      <c r="B4572" s="9"/>
      <c r="C4572" s="8"/>
    </row>
    <row r="4573" spans="1:3" x14ac:dyDescent="0.25">
      <c r="A4573" s="8"/>
      <c r="B4573" s="9"/>
      <c r="C4573" s="8"/>
    </row>
    <row r="4574" spans="1:3" x14ac:dyDescent="0.25">
      <c r="A4574" s="8"/>
      <c r="B4574" s="9"/>
      <c r="C4574" s="8"/>
    </row>
    <row r="4575" spans="1:3" x14ac:dyDescent="0.25">
      <c r="A4575" s="8"/>
      <c r="B4575" s="9"/>
      <c r="C4575" s="8"/>
    </row>
    <row r="4576" spans="1:3" x14ac:dyDescent="0.25">
      <c r="A4576" s="8"/>
      <c r="B4576" s="9"/>
      <c r="C4576" s="8"/>
    </row>
    <row r="4577" spans="1:3" x14ac:dyDescent="0.25">
      <c r="A4577" s="8"/>
      <c r="B4577" s="9"/>
      <c r="C4577" s="8"/>
    </row>
    <row r="4578" spans="1:3" x14ac:dyDescent="0.25">
      <c r="A4578" s="8"/>
      <c r="B4578" s="9"/>
      <c r="C4578" s="8"/>
    </row>
    <row r="4579" spans="1:3" x14ac:dyDescent="0.25">
      <c r="A4579" s="8"/>
      <c r="B4579" s="9"/>
      <c r="C4579" s="8"/>
    </row>
    <row r="4580" spans="1:3" x14ac:dyDescent="0.25">
      <c r="A4580" s="8"/>
      <c r="B4580" s="9"/>
      <c r="C4580" s="8"/>
    </row>
    <row r="4581" spans="1:3" x14ac:dyDescent="0.25">
      <c r="A4581" s="8"/>
      <c r="B4581" s="9"/>
      <c r="C4581" s="8"/>
    </row>
    <row r="4582" spans="1:3" x14ac:dyDescent="0.25">
      <c r="A4582" s="8"/>
      <c r="B4582" s="9"/>
      <c r="C4582" s="8"/>
    </row>
    <row r="4583" spans="1:3" x14ac:dyDescent="0.25">
      <c r="A4583" s="8"/>
      <c r="B4583" s="9"/>
      <c r="C4583" s="8"/>
    </row>
    <row r="4584" spans="1:3" x14ac:dyDescent="0.25">
      <c r="A4584" s="8"/>
      <c r="B4584" s="9"/>
      <c r="C4584" s="8"/>
    </row>
    <row r="4585" spans="1:3" x14ac:dyDescent="0.25">
      <c r="A4585" s="8"/>
      <c r="B4585" s="9"/>
      <c r="C4585" s="8"/>
    </row>
    <row r="4586" spans="1:3" x14ac:dyDescent="0.25">
      <c r="A4586" s="8"/>
      <c r="B4586" s="9"/>
      <c r="C4586" s="8"/>
    </row>
    <row r="4587" spans="1:3" x14ac:dyDescent="0.25">
      <c r="A4587" s="8"/>
      <c r="B4587" s="9"/>
      <c r="C4587" s="8"/>
    </row>
    <row r="4588" spans="1:3" x14ac:dyDescent="0.25">
      <c r="A4588" s="8"/>
      <c r="B4588" s="9"/>
      <c r="C4588" s="8"/>
    </row>
    <row r="4589" spans="1:3" x14ac:dyDescent="0.25">
      <c r="A4589" s="8"/>
      <c r="B4589" s="9"/>
      <c r="C4589" s="8"/>
    </row>
    <row r="4590" spans="1:3" x14ac:dyDescent="0.25">
      <c r="A4590" s="8"/>
      <c r="B4590" s="9"/>
      <c r="C4590" s="8"/>
    </row>
    <row r="4591" spans="1:3" x14ac:dyDescent="0.25">
      <c r="A4591" s="8"/>
      <c r="B4591" s="9"/>
      <c r="C4591" s="8"/>
    </row>
    <row r="4592" spans="1:3" x14ac:dyDescent="0.25">
      <c r="A4592" s="8"/>
      <c r="B4592" s="9"/>
      <c r="C4592" s="8"/>
    </row>
    <row r="4593" spans="1:3" x14ac:dyDescent="0.25">
      <c r="A4593" s="8"/>
      <c r="B4593" s="9"/>
      <c r="C4593" s="8"/>
    </row>
    <row r="4594" spans="1:3" x14ac:dyDescent="0.25">
      <c r="A4594" s="8"/>
      <c r="B4594" s="9"/>
      <c r="C4594" s="8"/>
    </row>
    <row r="4595" spans="1:3" x14ac:dyDescent="0.25">
      <c r="A4595" s="8"/>
      <c r="B4595" s="9"/>
      <c r="C4595" s="8"/>
    </row>
    <row r="4596" spans="1:3" x14ac:dyDescent="0.25">
      <c r="A4596" s="8"/>
      <c r="B4596" s="9"/>
      <c r="C4596" s="8"/>
    </row>
    <row r="4597" spans="1:3" x14ac:dyDescent="0.25">
      <c r="A4597" s="8"/>
      <c r="B4597" s="9"/>
      <c r="C4597" s="8"/>
    </row>
    <row r="4598" spans="1:3" x14ac:dyDescent="0.25">
      <c r="A4598" s="8"/>
      <c r="B4598" s="9"/>
      <c r="C4598" s="8"/>
    </row>
    <row r="4599" spans="1:3" x14ac:dyDescent="0.25">
      <c r="A4599" s="8"/>
      <c r="B4599" s="9"/>
      <c r="C4599" s="8"/>
    </row>
    <row r="4600" spans="1:3" x14ac:dyDescent="0.25">
      <c r="A4600" s="8"/>
      <c r="B4600" s="9"/>
      <c r="C4600" s="8"/>
    </row>
    <row r="4601" spans="1:3" x14ac:dyDescent="0.25">
      <c r="A4601" s="8"/>
      <c r="B4601" s="9"/>
      <c r="C4601" s="8"/>
    </row>
    <row r="4602" spans="1:3" x14ac:dyDescent="0.25">
      <c r="A4602" s="8"/>
      <c r="B4602" s="9"/>
      <c r="C4602" s="8"/>
    </row>
    <row r="4603" spans="1:3" x14ac:dyDescent="0.25">
      <c r="A4603" s="8"/>
      <c r="B4603" s="9"/>
      <c r="C4603" s="8"/>
    </row>
    <row r="4604" spans="1:3" x14ac:dyDescent="0.25">
      <c r="A4604" s="8"/>
      <c r="B4604" s="9"/>
      <c r="C4604" s="8"/>
    </row>
    <row r="4605" spans="1:3" x14ac:dyDescent="0.25">
      <c r="A4605" s="8"/>
      <c r="B4605" s="9"/>
      <c r="C4605" s="8"/>
    </row>
    <row r="4606" spans="1:3" x14ac:dyDescent="0.25">
      <c r="A4606" s="8"/>
      <c r="B4606" s="9"/>
      <c r="C4606" s="8"/>
    </row>
    <row r="4607" spans="1:3" x14ac:dyDescent="0.25">
      <c r="A4607" s="8"/>
      <c r="B4607" s="9"/>
      <c r="C4607" s="8"/>
    </row>
    <row r="4608" spans="1:3" x14ac:dyDescent="0.25">
      <c r="A4608" s="8"/>
      <c r="B4608" s="9"/>
      <c r="C4608" s="8"/>
    </row>
    <row r="4609" spans="1:3" x14ac:dyDescent="0.25">
      <c r="A4609" s="8"/>
      <c r="B4609" s="9"/>
      <c r="C4609" s="8"/>
    </row>
    <row r="4610" spans="1:3" x14ac:dyDescent="0.25">
      <c r="A4610" s="8"/>
      <c r="B4610" s="9"/>
      <c r="C4610" s="8"/>
    </row>
    <row r="4611" spans="1:3" x14ac:dyDescent="0.25">
      <c r="A4611" s="8"/>
      <c r="B4611" s="9"/>
      <c r="C4611" s="8"/>
    </row>
    <row r="4612" spans="1:3" x14ac:dyDescent="0.25">
      <c r="A4612" s="8"/>
      <c r="B4612" s="9"/>
      <c r="C4612" s="8"/>
    </row>
    <row r="4613" spans="1:3" x14ac:dyDescent="0.25">
      <c r="A4613" s="8"/>
      <c r="B4613" s="9"/>
      <c r="C4613" s="8"/>
    </row>
    <row r="4614" spans="1:3" x14ac:dyDescent="0.25">
      <c r="A4614" s="8"/>
      <c r="B4614" s="9"/>
      <c r="C4614" s="8"/>
    </row>
    <row r="4615" spans="1:3" x14ac:dyDescent="0.25">
      <c r="A4615" s="8"/>
      <c r="B4615" s="9"/>
      <c r="C4615" s="8"/>
    </row>
    <row r="4616" spans="1:3" x14ac:dyDescent="0.25">
      <c r="A4616" s="8"/>
      <c r="B4616" s="9"/>
      <c r="C4616" s="8"/>
    </row>
    <row r="4617" spans="1:3" x14ac:dyDescent="0.25">
      <c r="A4617" s="8"/>
      <c r="B4617" s="9"/>
      <c r="C4617" s="8"/>
    </row>
    <row r="4618" spans="1:3" x14ac:dyDescent="0.25">
      <c r="A4618" s="8"/>
      <c r="B4618" s="9"/>
      <c r="C4618" s="8"/>
    </row>
    <row r="4619" spans="1:3" x14ac:dyDescent="0.25">
      <c r="A4619" s="8"/>
      <c r="B4619" s="9"/>
      <c r="C4619" s="8"/>
    </row>
    <row r="4620" spans="1:3" x14ac:dyDescent="0.25">
      <c r="A4620" s="8"/>
      <c r="B4620" s="9"/>
      <c r="C4620" s="8"/>
    </row>
    <row r="4621" spans="1:3" x14ac:dyDescent="0.25">
      <c r="A4621" s="8"/>
      <c r="B4621" s="9"/>
      <c r="C4621" s="8"/>
    </row>
    <row r="4622" spans="1:3" x14ac:dyDescent="0.25">
      <c r="A4622" s="8"/>
      <c r="B4622" s="9"/>
      <c r="C4622" s="8"/>
    </row>
    <row r="4623" spans="1:3" x14ac:dyDescent="0.25">
      <c r="A4623" s="8"/>
      <c r="B4623" s="9"/>
      <c r="C4623" s="8"/>
    </row>
    <row r="4624" spans="1:3" x14ac:dyDescent="0.25">
      <c r="A4624" s="8"/>
      <c r="B4624" s="9"/>
      <c r="C4624" s="8"/>
    </row>
    <row r="4625" spans="1:3" x14ac:dyDescent="0.25">
      <c r="A4625" s="8"/>
      <c r="B4625" s="9"/>
      <c r="C4625" s="8"/>
    </row>
    <row r="4626" spans="1:3" x14ac:dyDescent="0.25">
      <c r="A4626" s="8"/>
      <c r="B4626" s="9"/>
      <c r="C4626" s="8"/>
    </row>
    <row r="4627" spans="1:3" x14ac:dyDescent="0.25">
      <c r="A4627" s="8"/>
      <c r="B4627" s="9"/>
      <c r="C4627" s="8"/>
    </row>
    <row r="4628" spans="1:3" x14ac:dyDescent="0.25">
      <c r="A4628" s="8"/>
      <c r="B4628" s="9"/>
      <c r="C4628" s="8"/>
    </row>
    <row r="4629" spans="1:3" x14ac:dyDescent="0.25">
      <c r="A4629" s="8"/>
      <c r="B4629" s="9"/>
      <c r="C4629" s="8"/>
    </row>
    <row r="4630" spans="1:3" x14ac:dyDescent="0.25">
      <c r="A4630" s="8"/>
      <c r="B4630" s="9"/>
      <c r="C4630" s="8"/>
    </row>
    <row r="4631" spans="1:3" x14ac:dyDescent="0.25">
      <c r="A4631" s="8"/>
      <c r="B4631" s="9"/>
      <c r="C4631" s="8"/>
    </row>
    <row r="4632" spans="1:3" x14ac:dyDescent="0.25">
      <c r="A4632" s="8"/>
      <c r="B4632" s="9"/>
      <c r="C4632" s="8"/>
    </row>
    <row r="4633" spans="1:3" x14ac:dyDescent="0.25">
      <c r="A4633" s="8"/>
      <c r="B4633" s="9"/>
      <c r="C4633" s="8"/>
    </row>
    <row r="4634" spans="1:3" x14ac:dyDescent="0.25">
      <c r="A4634" s="8"/>
      <c r="B4634" s="9"/>
      <c r="C4634" s="8"/>
    </row>
    <row r="4635" spans="1:3" x14ac:dyDescent="0.25">
      <c r="A4635" s="8"/>
      <c r="B4635" s="9"/>
      <c r="C4635" s="8"/>
    </row>
    <row r="4636" spans="1:3" x14ac:dyDescent="0.25">
      <c r="A4636" s="8"/>
      <c r="B4636" s="9"/>
      <c r="C4636" s="8"/>
    </row>
    <row r="4637" spans="1:3" x14ac:dyDescent="0.25">
      <c r="A4637" s="8"/>
      <c r="B4637" s="9"/>
      <c r="C4637" s="8"/>
    </row>
    <row r="4638" spans="1:3" x14ac:dyDescent="0.25">
      <c r="A4638" s="8"/>
      <c r="B4638" s="9"/>
      <c r="C4638" s="8"/>
    </row>
    <row r="4639" spans="1:3" x14ac:dyDescent="0.25">
      <c r="A4639" s="8"/>
      <c r="B4639" s="9"/>
      <c r="C4639" s="8"/>
    </row>
    <row r="4640" spans="1:3" x14ac:dyDescent="0.25">
      <c r="A4640" s="8"/>
      <c r="B4640" s="9"/>
      <c r="C4640" s="8"/>
    </row>
    <row r="4641" spans="1:3" x14ac:dyDescent="0.25">
      <c r="A4641" s="8"/>
      <c r="B4641" s="9"/>
      <c r="C4641" s="8"/>
    </row>
    <row r="4642" spans="1:3" x14ac:dyDescent="0.25">
      <c r="A4642" s="8"/>
      <c r="B4642" s="9"/>
      <c r="C4642" s="8"/>
    </row>
    <row r="4643" spans="1:3" x14ac:dyDescent="0.25">
      <c r="A4643" s="8"/>
      <c r="B4643" s="9"/>
      <c r="C4643" s="8"/>
    </row>
    <row r="4644" spans="1:3" x14ac:dyDescent="0.25">
      <c r="A4644" s="8"/>
      <c r="B4644" s="9"/>
      <c r="C4644" s="8"/>
    </row>
    <row r="4645" spans="1:3" x14ac:dyDescent="0.25">
      <c r="A4645" s="8"/>
      <c r="B4645" s="9"/>
      <c r="C4645" s="8"/>
    </row>
    <row r="4646" spans="1:3" x14ac:dyDescent="0.25">
      <c r="A4646" s="8"/>
      <c r="B4646" s="9"/>
      <c r="C4646" s="8"/>
    </row>
    <row r="4647" spans="1:3" x14ac:dyDescent="0.25">
      <c r="A4647" s="8"/>
      <c r="B4647" s="9"/>
      <c r="C4647" s="8"/>
    </row>
    <row r="4648" spans="1:3" x14ac:dyDescent="0.25">
      <c r="A4648" s="8"/>
      <c r="B4648" s="9"/>
      <c r="C4648" s="8"/>
    </row>
    <row r="4649" spans="1:3" x14ac:dyDescent="0.25">
      <c r="A4649" s="8"/>
      <c r="B4649" s="9"/>
      <c r="C4649" s="8"/>
    </row>
    <row r="4650" spans="1:3" x14ac:dyDescent="0.25">
      <c r="A4650" s="8"/>
      <c r="B4650" s="9"/>
      <c r="C4650" s="8"/>
    </row>
    <row r="4651" spans="1:3" x14ac:dyDescent="0.25">
      <c r="A4651" s="8"/>
      <c r="B4651" s="9"/>
      <c r="C4651" s="8"/>
    </row>
    <row r="4652" spans="1:3" x14ac:dyDescent="0.25">
      <c r="A4652" s="8"/>
      <c r="B4652" s="9"/>
      <c r="C4652" s="8"/>
    </row>
    <row r="4653" spans="1:3" x14ac:dyDescent="0.25">
      <c r="A4653" s="8"/>
      <c r="B4653" s="9"/>
      <c r="C4653" s="8"/>
    </row>
    <row r="4654" spans="1:3" x14ac:dyDescent="0.25">
      <c r="A4654" s="8"/>
      <c r="B4654" s="9"/>
      <c r="C4654" s="8"/>
    </row>
    <row r="4655" spans="1:3" x14ac:dyDescent="0.25">
      <c r="A4655" s="8"/>
      <c r="B4655" s="9"/>
      <c r="C4655" s="8"/>
    </row>
    <row r="4656" spans="1:3" x14ac:dyDescent="0.25">
      <c r="A4656" s="8"/>
      <c r="B4656" s="9"/>
      <c r="C4656" s="8"/>
    </row>
    <row r="4657" spans="1:3" x14ac:dyDescent="0.25">
      <c r="A4657" s="8"/>
      <c r="B4657" s="9"/>
      <c r="C4657" s="8"/>
    </row>
    <row r="4658" spans="1:3" x14ac:dyDescent="0.25">
      <c r="A4658" s="8"/>
      <c r="B4658" s="9"/>
      <c r="C4658" s="8"/>
    </row>
    <row r="4659" spans="1:3" x14ac:dyDescent="0.25">
      <c r="A4659" s="8"/>
      <c r="B4659" s="9"/>
      <c r="C4659" s="8"/>
    </row>
    <row r="4660" spans="1:3" x14ac:dyDescent="0.25">
      <c r="A4660" s="8"/>
      <c r="B4660" s="9"/>
      <c r="C4660" s="8"/>
    </row>
    <row r="4661" spans="1:3" x14ac:dyDescent="0.25">
      <c r="A4661" s="8"/>
      <c r="B4661" s="9"/>
      <c r="C4661" s="8"/>
    </row>
    <row r="4662" spans="1:3" x14ac:dyDescent="0.25">
      <c r="A4662" s="8"/>
      <c r="B4662" s="9"/>
      <c r="C4662" s="8"/>
    </row>
    <row r="4663" spans="1:3" x14ac:dyDescent="0.25">
      <c r="A4663" s="8"/>
      <c r="B4663" s="9"/>
      <c r="C4663" s="8"/>
    </row>
    <row r="4664" spans="1:3" x14ac:dyDescent="0.25">
      <c r="A4664" s="8"/>
      <c r="B4664" s="9"/>
      <c r="C4664" s="8"/>
    </row>
    <row r="4665" spans="1:3" x14ac:dyDescent="0.25">
      <c r="A4665" s="8"/>
      <c r="B4665" s="9"/>
      <c r="C4665" s="8"/>
    </row>
    <row r="4666" spans="1:3" x14ac:dyDescent="0.25">
      <c r="A4666" s="8"/>
      <c r="B4666" s="9"/>
      <c r="C4666" s="8"/>
    </row>
    <row r="4667" spans="1:3" x14ac:dyDescent="0.25">
      <c r="A4667" s="8"/>
      <c r="B4667" s="9"/>
      <c r="C4667" s="8"/>
    </row>
    <row r="4668" spans="1:3" x14ac:dyDescent="0.25">
      <c r="A4668" s="8"/>
      <c r="B4668" s="9"/>
      <c r="C4668" s="8"/>
    </row>
    <row r="4669" spans="1:3" x14ac:dyDescent="0.25">
      <c r="A4669" s="8"/>
      <c r="B4669" s="9"/>
      <c r="C4669" s="8"/>
    </row>
    <row r="4670" spans="1:3" x14ac:dyDescent="0.25">
      <c r="A4670" s="8"/>
      <c r="B4670" s="9"/>
      <c r="C4670" s="8"/>
    </row>
    <row r="4671" spans="1:3" x14ac:dyDescent="0.25">
      <c r="A4671" s="8"/>
      <c r="B4671" s="9"/>
      <c r="C4671" s="8"/>
    </row>
    <row r="4672" spans="1:3" x14ac:dyDescent="0.25">
      <c r="A4672" s="8"/>
      <c r="B4672" s="9"/>
      <c r="C4672" s="8"/>
    </row>
    <row r="4673" spans="1:3" x14ac:dyDescent="0.25">
      <c r="A4673" s="8"/>
      <c r="B4673" s="9"/>
      <c r="C4673" s="8"/>
    </row>
    <row r="4674" spans="1:3" x14ac:dyDescent="0.25">
      <c r="A4674" s="8"/>
      <c r="B4674" s="9"/>
      <c r="C4674" s="8"/>
    </row>
    <row r="4675" spans="1:3" x14ac:dyDescent="0.25">
      <c r="A4675" s="8"/>
      <c r="B4675" s="9"/>
      <c r="C4675" s="8"/>
    </row>
    <row r="4676" spans="1:3" x14ac:dyDescent="0.25">
      <c r="A4676" s="8"/>
      <c r="B4676" s="9"/>
      <c r="C4676" s="8"/>
    </row>
    <row r="4677" spans="1:3" x14ac:dyDescent="0.25">
      <c r="A4677" s="8"/>
      <c r="B4677" s="9"/>
      <c r="C4677" s="8"/>
    </row>
    <row r="4678" spans="1:3" x14ac:dyDescent="0.25">
      <c r="A4678" s="8"/>
      <c r="B4678" s="9"/>
      <c r="C4678" s="8"/>
    </row>
    <row r="4679" spans="1:3" x14ac:dyDescent="0.25">
      <c r="A4679" s="8"/>
      <c r="B4679" s="9"/>
      <c r="C4679" s="8"/>
    </row>
    <row r="4680" spans="1:3" x14ac:dyDescent="0.25">
      <c r="A4680" s="8"/>
      <c r="B4680" s="9"/>
      <c r="C4680" s="8"/>
    </row>
    <row r="4681" spans="1:3" x14ac:dyDescent="0.25">
      <c r="A4681" s="8"/>
      <c r="B4681" s="9"/>
      <c r="C4681" s="8"/>
    </row>
    <row r="4682" spans="1:3" x14ac:dyDescent="0.25">
      <c r="A4682" s="8"/>
      <c r="B4682" s="9"/>
      <c r="C4682" s="8"/>
    </row>
    <row r="4683" spans="1:3" x14ac:dyDescent="0.25">
      <c r="A4683" s="8"/>
      <c r="B4683" s="9"/>
      <c r="C4683" s="8"/>
    </row>
    <row r="4684" spans="1:3" x14ac:dyDescent="0.25">
      <c r="A4684" s="8"/>
      <c r="B4684" s="9"/>
      <c r="C4684" s="8"/>
    </row>
    <row r="4685" spans="1:3" x14ac:dyDescent="0.25">
      <c r="A4685" s="8"/>
      <c r="B4685" s="9"/>
      <c r="C4685" s="8"/>
    </row>
    <row r="4686" spans="1:3" x14ac:dyDescent="0.25">
      <c r="A4686" s="8"/>
      <c r="B4686" s="9"/>
      <c r="C4686" s="8"/>
    </row>
    <row r="4687" spans="1:3" x14ac:dyDescent="0.25">
      <c r="A4687" s="8"/>
      <c r="B4687" s="9"/>
      <c r="C4687" s="8"/>
    </row>
    <row r="4688" spans="1:3" x14ac:dyDescent="0.25">
      <c r="A4688" s="8"/>
      <c r="B4688" s="9"/>
      <c r="C4688" s="8"/>
    </row>
    <row r="4689" spans="1:3" x14ac:dyDescent="0.25">
      <c r="A4689" s="8"/>
      <c r="B4689" s="9"/>
      <c r="C4689" s="8"/>
    </row>
    <row r="4690" spans="1:3" x14ac:dyDescent="0.25">
      <c r="A4690" s="8"/>
      <c r="B4690" s="9"/>
      <c r="C4690" s="8"/>
    </row>
    <row r="4691" spans="1:3" x14ac:dyDescent="0.25">
      <c r="A4691" s="8"/>
      <c r="B4691" s="9"/>
      <c r="C4691" s="8"/>
    </row>
    <row r="4692" spans="1:3" x14ac:dyDescent="0.25">
      <c r="A4692" s="8"/>
      <c r="B4692" s="9"/>
      <c r="C4692" s="8"/>
    </row>
    <row r="4693" spans="1:3" x14ac:dyDescent="0.25">
      <c r="A4693" s="8"/>
      <c r="B4693" s="9"/>
      <c r="C4693" s="8"/>
    </row>
    <row r="4694" spans="1:3" x14ac:dyDescent="0.25">
      <c r="A4694" s="8"/>
      <c r="B4694" s="9"/>
      <c r="C4694" s="8"/>
    </row>
    <row r="4695" spans="1:3" x14ac:dyDescent="0.25">
      <c r="A4695" s="8"/>
      <c r="B4695" s="9"/>
      <c r="C4695" s="8"/>
    </row>
    <row r="4696" spans="1:3" x14ac:dyDescent="0.25">
      <c r="A4696" s="8"/>
      <c r="B4696" s="9"/>
      <c r="C4696" s="8"/>
    </row>
    <row r="4697" spans="1:3" x14ac:dyDescent="0.25">
      <c r="A4697" s="8"/>
      <c r="B4697" s="9"/>
      <c r="C4697" s="8"/>
    </row>
    <row r="4698" spans="1:3" x14ac:dyDescent="0.25">
      <c r="A4698" s="8"/>
      <c r="B4698" s="9"/>
      <c r="C4698" s="8"/>
    </row>
    <row r="4699" spans="1:3" x14ac:dyDescent="0.25">
      <c r="A4699" s="8"/>
      <c r="B4699" s="9"/>
      <c r="C4699" s="8"/>
    </row>
    <row r="4700" spans="1:3" x14ac:dyDescent="0.25">
      <c r="A4700" s="8"/>
      <c r="B4700" s="9"/>
      <c r="C4700" s="8"/>
    </row>
    <row r="4701" spans="1:3" x14ac:dyDescent="0.25">
      <c r="A4701" s="8"/>
      <c r="B4701" s="9"/>
      <c r="C4701" s="8"/>
    </row>
    <row r="4702" spans="1:3" x14ac:dyDescent="0.25">
      <c r="A4702" s="8"/>
      <c r="B4702" s="9"/>
      <c r="C4702" s="8"/>
    </row>
    <row r="4703" spans="1:3" x14ac:dyDescent="0.25">
      <c r="A4703" s="8"/>
      <c r="B4703" s="9"/>
      <c r="C4703" s="8"/>
    </row>
    <row r="4704" spans="1:3" x14ac:dyDescent="0.25">
      <c r="A4704" s="8"/>
      <c r="B4704" s="9"/>
      <c r="C4704" s="8"/>
    </row>
    <row r="4705" spans="1:3" x14ac:dyDescent="0.25">
      <c r="A4705" s="8"/>
      <c r="B4705" s="9"/>
      <c r="C4705" s="8"/>
    </row>
    <row r="4706" spans="1:3" x14ac:dyDescent="0.25">
      <c r="A4706" s="8"/>
      <c r="B4706" s="9"/>
      <c r="C4706" s="8"/>
    </row>
    <row r="4707" spans="1:3" x14ac:dyDescent="0.25">
      <c r="A4707" s="8"/>
      <c r="B4707" s="9"/>
      <c r="C4707" s="8"/>
    </row>
    <row r="4708" spans="1:3" x14ac:dyDescent="0.25">
      <c r="A4708" s="8"/>
      <c r="B4708" s="9"/>
      <c r="C4708" s="8"/>
    </row>
    <row r="4709" spans="1:3" x14ac:dyDescent="0.25">
      <c r="A4709" s="8"/>
      <c r="B4709" s="9"/>
      <c r="C4709" s="8"/>
    </row>
    <row r="4710" spans="1:3" x14ac:dyDescent="0.25">
      <c r="A4710" s="8"/>
      <c r="B4710" s="9"/>
      <c r="C4710" s="8"/>
    </row>
    <row r="4711" spans="1:3" x14ac:dyDescent="0.25">
      <c r="A4711" s="8"/>
      <c r="B4711" s="9"/>
      <c r="C4711" s="8"/>
    </row>
    <row r="4712" spans="1:3" x14ac:dyDescent="0.25">
      <c r="A4712" s="8"/>
      <c r="B4712" s="9"/>
      <c r="C4712" s="8"/>
    </row>
    <row r="4713" spans="1:3" x14ac:dyDescent="0.25">
      <c r="A4713" s="8"/>
      <c r="B4713" s="9"/>
      <c r="C4713" s="8"/>
    </row>
    <row r="4714" spans="1:3" x14ac:dyDescent="0.25">
      <c r="A4714" s="8"/>
      <c r="B4714" s="9"/>
      <c r="C4714" s="8"/>
    </row>
    <row r="4715" spans="1:3" x14ac:dyDescent="0.25">
      <c r="A4715" s="8"/>
      <c r="B4715" s="9"/>
      <c r="C4715" s="8"/>
    </row>
    <row r="4716" spans="1:3" x14ac:dyDescent="0.25">
      <c r="A4716" s="8"/>
      <c r="B4716" s="9"/>
      <c r="C4716" s="8"/>
    </row>
    <row r="4717" spans="1:3" x14ac:dyDescent="0.25">
      <c r="A4717" s="8"/>
      <c r="B4717" s="9"/>
      <c r="C4717" s="8"/>
    </row>
    <row r="4718" spans="1:3" x14ac:dyDescent="0.25">
      <c r="A4718" s="8"/>
      <c r="B4718" s="9"/>
      <c r="C4718" s="8"/>
    </row>
    <row r="4719" spans="1:3" x14ac:dyDescent="0.25">
      <c r="A4719" s="8"/>
      <c r="B4719" s="9"/>
      <c r="C4719" s="8"/>
    </row>
    <row r="4720" spans="1:3" x14ac:dyDescent="0.25">
      <c r="A4720" s="8"/>
      <c r="B4720" s="9"/>
      <c r="C4720" s="8"/>
    </row>
    <row r="4721" spans="1:3" x14ac:dyDescent="0.25">
      <c r="A4721" s="8"/>
      <c r="B4721" s="9"/>
      <c r="C4721" s="8"/>
    </row>
    <row r="4722" spans="1:3" x14ac:dyDescent="0.25">
      <c r="A4722" s="8"/>
      <c r="B4722" s="9"/>
      <c r="C4722" s="8"/>
    </row>
    <row r="4723" spans="1:3" x14ac:dyDescent="0.25">
      <c r="A4723" s="8"/>
      <c r="B4723" s="9"/>
      <c r="C4723" s="8"/>
    </row>
    <row r="4724" spans="1:3" x14ac:dyDescent="0.25">
      <c r="A4724" s="8"/>
      <c r="B4724" s="9"/>
      <c r="C4724" s="8"/>
    </row>
    <row r="4725" spans="1:3" x14ac:dyDescent="0.25">
      <c r="A4725" s="8"/>
      <c r="B4725" s="9"/>
      <c r="C4725" s="8"/>
    </row>
    <row r="4726" spans="1:3" x14ac:dyDescent="0.25">
      <c r="A4726" s="8"/>
      <c r="B4726" s="9"/>
      <c r="C4726" s="8"/>
    </row>
    <row r="4727" spans="1:3" x14ac:dyDescent="0.25">
      <c r="A4727" s="8"/>
      <c r="B4727" s="9"/>
      <c r="C4727" s="8"/>
    </row>
    <row r="4728" spans="1:3" x14ac:dyDescent="0.25">
      <c r="A4728" s="8"/>
      <c r="B4728" s="9"/>
      <c r="C4728" s="8"/>
    </row>
    <row r="4729" spans="1:3" x14ac:dyDescent="0.25">
      <c r="A4729" s="8"/>
      <c r="B4729" s="9"/>
      <c r="C4729" s="8"/>
    </row>
    <row r="4730" spans="1:3" x14ac:dyDescent="0.25">
      <c r="A4730" s="8"/>
      <c r="B4730" s="9"/>
      <c r="C4730" s="8"/>
    </row>
    <row r="4731" spans="1:3" x14ac:dyDescent="0.25">
      <c r="A4731" s="8"/>
      <c r="B4731" s="9"/>
      <c r="C4731" s="8"/>
    </row>
    <row r="4732" spans="1:3" x14ac:dyDescent="0.25">
      <c r="A4732" s="8"/>
      <c r="B4732" s="9"/>
      <c r="C4732" s="8"/>
    </row>
    <row r="4733" spans="1:3" x14ac:dyDescent="0.25">
      <c r="A4733" s="8"/>
      <c r="B4733" s="9"/>
      <c r="C4733" s="8"/>
    </row>
    <row r="4734" spans="1:3" x14ac:dyDescent="0.25">
      <c r="A4734" s="8"/>
      <c r="B4734" s="9"/>
      <c r="C4734" s="8"/>
    </row>
    <row r="4735" spans="1:3" x14ac:dyDescent="0.25">
      <c r="A4735" s="8"/>
      <c r="B4735" s="9"/>
      <c r="C4735" s="8"/>
    </row>
    <row r="4736" spans="1:3" x14ac:dyDescent="0.25">
      <c r="A4736" s="8"/>
      <c r="B4736" s="9"/>
      <c r="C4736" s="8"/>
    </row>
    <row r="4737" spans="1:3" x14ac:dyDescent="0.25">
      <c r="A4737" s="8"/>
      <c r="B4737" s="9"/>
      <c r="C4737" s="8"/>
    </row>
    <row r="4738" spans="1:3" x14ac:dyDescent="0.25">
      <c r="A4738" s="8"/>
      <c r="B4738" s="9"/>
      <c r="C4738" s="8"/>
    </row>
    <row r="4739" spans="1:3" x14ac:dyDescent="0.25">
      <c r="A4739" s="8"/>
      <c r="B4739" s="9"/>
      <c r="C4739" s="8"/>
    </row>
    <row r="4740" spans="1:3" x14ac:dyDescent="0.25">
      <c r="A4740" s="8"/>
      <c r="B4740" s="9"/>
      <c r="C4740" s="8"/>
    </row>
    <row r="4741" spans="1:3" x14ac:dyDescent="0.25">
      <c r="A4741" s="8"/>
      <c r="B4741" s="9"/>
      <c r="C4741" s="8"/>
    </row>
    <row r="4742" spans="1:3" x14ac:dyDescent="0.25">
      <c r="A4742" s="8"/>
      <c r="B4742" s="9"/>
      <c r="C4742" s="8"/>
    </row>
    <row r="4743" spans="1:3" x14ac:dyDescent="0.25">
      <c r="A4743" s="8"/>
      <c r="B4743" s="9"/>
      <c r="C4743" s="8"/>
    </row>
    <row r="4744" spans="1:3" x14ac:dyDescent="0.25">
      <c r="A4744" s="8"/>
      <c r="B4744" s="9"/>
      <c r="C4744" s="8"/>
    </row>
    <row r="4745" spans="1:3" x14ac:dyDescent="0.25">
      <c r="A4745" s="8"/>
      <c r="B4745" s="9"/>
      <c r="C4745" s="8"/>
    </row>
    <row r="4746" spans="1:3" x14ac:dyDescent="0.25">
      <c r="A4746" s="8"/>
      <c r="B4746" s="9"/>
      <c r="C4746" s="8"/>
    </row>
    <row r="4747" spans="1:3" x14ac:dyDescent="0.25">
      <c r="A4747" s="8"/>
      <c r="B4747" s="9"/>
      <c r="C4747" s="8"/>
    </row>
    <row r="4748" spans="1:3" x14ac:dyDescent="0.25">
      <c r="A4748" s="8"/>
      <c r="B4748" s="9"/>
      <c r="C4748" s="8"/>
    </row>
    <row r="4749" spans="1:3" x14ac:dyDescent="0.25">
      <c r="A4749" s="8"/>
      <c r="B4749" s="9"/>
      <c r="C4749" s="8"/>
    </row>
    <row r="4750" spans="1:3" x14ac:dyDescent="0.25">
      <c r="A4750" s="8"/>
      <c r="B4750" s="9"/>
      <c r="C4750" s="8"/>
    </row>
    <row r="4751" spans="1:3" x14ac:dyDescent="0.25">
      <c r="A4751" s="8"/>
      <c r="B4751" s="9"/>
      <c r="C4751" s="8"/>
    </row>
    <row r="4752" spans="1:3" x14ac:dyDescent="0.25">
      <c r="A4752" s="8"/>
      <c r="B4752" s="9"/>
      <c r="C4752" s="8"/>
    </row>
    <row r="4753" spans="1:3" x14ac:dyDescent="0.25">
      <c r="A4753" s="8"/>
      <c r="B4753" s="9"/>
      <c r="C4753" s="8"/>
    </row>
    <row r="4754" spans="1:3" x14ac:dyDescent="0.25">
      <c r="A4754" s="8"/>
      <c r="B4754" s="9"/>
      <c r="C4754" s="8"/>
    </row>
    <row r="4755" spans="1:3" x14ac:dyDescent="0.25">
      <c r="A4755" s="8"/>
      <c r="B4755" s="9"/>
      <c r="C4755" s="8"/>
    </row>
    <row r="4756" spans="1:3" x14ac:dyDescent="0.25">
      <c r="A4756" s="8"/>
      <c r="B4756" s="9"/>
      <c r="C4756" s="8"/>
    </row>
    <row r="4757" spans="1:3" x14ac:dyDescent="0.25">
      <c r="A4757" s="8"/>
      <c r="B4757" s="9"/>
      <c r="C4757" s="8"/>
    </row>
    <row r="4758" spans="1:3" x14ac:dyDescent="0.25">
      <c r="A4758" s="8"/>
      <c r="B4758" s="9"/>
      <c r="C4758" s="8"/>
    </row>
    <row r="4759" spans="1:3" x14ac:dyDescent="0.25">
      <c r="A4759" s="8"/>
      <c r="B4759" s="9"/>
      <c r="C4759" s="8"/>
    </row>
    <row r="4760" spans="1:3" x14ac:dyDescent="0.25">
      <c r="A4760" s="8"/>
      <c r="B4760" s="9"/>
      <c r="C4760" s="8"/>
    </row>
    <row r="4761" spans="1:3" x14ac:dyDescent="0.25">
      <c r="A4761" s="8"/>
      <c r="B4761" s="9"/>
      <c r="C4761" s="8"/>
    </row>
    <row r="4762" spans="1:3" x14ac:dyDescent="0.25">
      <c r="A4762" s="8"/>
      <c r="B4762" s="9"/>
      <c r="C4762" s="8"/>
    </row>
    <row r="4763" spans="1:3" x14ac:dyDescent="0.25">
      <c r="A4763" s="8"/>
      <c r="B4763" s="9"/>
      <c r="C4763" s="8"/>
    </row>
    <row r="4764" spans="1:3" x14ac:dyDescent="0.25">
      <c r="A4764" s="8"/>
      <c r="B4764" s="9"/>
      <c r="C4764" s="8"/>
    </row>
    <row r="4765" spans="1:3" x14ac:dyDescent="0.25">
      <c r="A4765" s="8"/>
      <c r="B4765" s="9"/>
      <c r="C4765" s="8"/>
    </row>
    <row r="4766" spans="1:3" x14ac:dyDescent="0.25">
      <c r="A4766" s="8"/>
      <c r="B4766" s="9"/>
      <c r="C4766" s="8"/>
    </row>
    <row r="4767" spans="1:3" x14ac:dyDescent="0.25">
      <c r="A4767" s="8"/>
      <c r="B4767" s="9"/>
      <c r="C4767" s="8"/>
    </row>
    <row r="4768" spans="1:3" x14ac:dyDescent="0.25">
      <c r="A4768" s="8"/>
      <c r="B4768" s="9"/>
      <c r="C4768" s="8"/>
    </row>
    <row r="4769" spans="1:3" x14ac:dyDescent="0.25">
      <c r="A4769" s="8"/>
      <c r="B4769" s="9"/>
      <c r="C4769" s="8"/>
    </row>
    <row r="4770" spans="1:3" x14ac:dyDescent="0.25">
      <c r="A4770" s="8"/>
      <c r="B4770" s="9"/>
      <c r="C4770" s="8"/>
    </row>
    <row r="4771" spans="1:3" x14ac:dyDescent="0.25">
      <c r="A4771" s="8"/>
      <c r="B4771" s="9"/>
      <c r="C4771" s="8"/>
    </row>
    <row r="4772" spans="1:3" x14ac:dyDescent="0.25">
      <c r="A4772" s="8"/>
      <c r="B4772" s="9"/>
      <c r="C4772" s="8"/>
    </row>
    <row r="4773" spans="1:3" x14ac:dyDescent="0.25">
      <c r="A4773" s="8"/>
      <c r="B4773" s="9"/>
      <c r="C4773" s="8"/>
    </row>
    <row r="4774" spans="1:3" x14ac:dyDescent="0.25">
      <c r="A4774" s="8"/>
      <c r="B4774" s="9"/>
      <c r="C4774" s="8"/>
    </row>
    <row r="4775" spans="1:3" x14ac:dyDescent="0.25">
      <c r="A4775" s="8"/>
      <c r="B4775" s="9"/>
      <c r="C4775" s="8"/>
    </row>
    <row r="4776" spans="1:3" x14ac:dyDescent="0.25">
      <c r="A4776" s="8"/>
      <c r="B4776" s="9"/>
      <c r="C4776" s="8"/>
    </row>
    <row r="4777" spans="1:3" x14ac:dyDescent="0.25">
      <c r="A4777" s="8"/>
      <c r="B4777" s="9"/>
      <c r="C4777" s="8"/>
    </row>
    <row r="4778" spans="1:3" x14ac:dyDescent="0.25">
      <c r="A4778" s="8"/>
      <c r="B4778" s="9"/>
      <c r="C4778" s="8"/>
    </row>
    <row r="4779" spans="1:3" x14ac:dyDescent="0.25">
      <c r="A4779" s="8"/>
      <c r="B4779" s="9"/>
      <c r="C4779" s="8"/>
    </row>
    <row r="4780" spans="1:3" x14ac:dyDescent="0.25">
      <c r="A4780" s="8"/>
      <c r="B4780" s="9"/>
      <c r="C4780" s="8"/>
    </row>
    <row r="4781" spans="1:3" x14ac:dyDescent="0.25">
      <c r="A4781" s="8"/>
      <c r="B4781" s="9"/>
      <c r="C4781" s="8"/>
    </row>
    <row r="4782" spans="1:3" x14ac:dyDescent="0.25">
      <c r="A4782" s="8"/>
      <c r="B4782" s="9"/>
      <c r="C4782" s="8"/>
    </row>
    <row r="4783" spans="1:3" x14ac:dyDescent="0.25">
      <c r="A4783" s="8"/>
      <c r="B4783" s="9"/>
      <c r="C4783" s="8"/>
    </row>
    <row r="4784" spans="1:3" x14ac:dyDescent="0.25">
      <c r="A4784" s="8"/>
      <c r="B4784" s="9"/>
      <c r="C4784" s="8"/>
    </row>
    <row r="4785" spans="1:3" x14ac:dyDescent="0.25">
      <c r="A4785" s="8"/>
      <c r="B4785" s="9"/>
      <c r="C4785" s="8"/>
    </row>
    <row r="4786" spans="1:3" x14ac:dyDescent="0.25">
      <c r="A4786" s="8"/>
      <c r="B4786" s="9"/>
      <c r="C4786" s="8"/>
    </row>
    <row r="4787" spans="1:3" x14ac:dyDescent="0.25">
      <c r="A4787" s="8"/>
      <c r="B4787" s="9"/>
      <c r="C4787" s="8"/>
    </row>
    <row r="4788" spans="1:3" x14ac:dyDescent="0.25">
      <c r="A4788" s="8"/>
      <c r="B4788" s="9"/>
      <c r="C4788" s="8"/>
    </row>
    <row r="4789" spans="1:3" x14ac:dyDescent="0.25">
      <c r="A4789" s="8"/>
      <c r="B4789" s="9"/>
      <c r="C4789" s="8"/>
    </row>
    <row r="4790" spans="1:3" x14ac:dyDescent="0.25">
      <c r="A4790" s="8"/>
      <c r="B4790" s="9"/>
      <c r="C4790" s="8"/>
    </row>
    <row r="4791" spans="1:3" x14ac:dyDescent="0.25">
      <c r="A4791" s="8"/>
      <c r="B4791" s="9"/>
      <c r="C4791" s="8"/>
    </row>
    <row r="4792" spans="1:3" x14ac:dyDescent="0.25">
      <c r="A4792" s="8"/>
      <c r="B4792" s="9"/>
      <c r="C4792" s="8"/>
    </row>
    <row r="4793" spans="1:3" x14ac:dyDescent="0.25">
      <c r="A4793" s="8"/>
      <c r="B4793" s="9"/>
      <c r="C4793" s="8"/>
    </row>
    <row r="4794" spans="1:3" x14ac:dyDescent="0.25">
      <c r="A4794" s="8"/>
      <c r="B4794" s="9"/>
      <c r="C4794" s="8"/>
    </row>
    <row r="4795" spans="1:3" x14ac:dyDescent="0.25">
      <c r="A4795" s="8"/>
      <c r="B4795" s="9"/>
      <c r="C4795" s="8"/>
    </row>
    <row r="4796" spans="1:3" x14ac:dyDescent="0.25">
      <c r="A4796" s="8"/>
      <c r="B4796" s="9"/>
      <c r="C4796" s="8"/>
    </row>
    <row r="4797" spans="1:3" x14ac:dyDescent="0.25">
      <c r="A4797" s="8"/>
      <c r="B4797" s="9"/>
      <c r="C4797" s="8"/>
    </row>
    <row r="4798" spans="1:3" x14ac:dyDescent="0.25">
      <c r="A4798" s="8"/>
      <c r="B4798" s="9"/>
      <c r="C4798" s="8"/>
    </row>
    <row r="4799" spans="1:3" x14ac:dyDescent="0.25">
      <c r="A4799" s="8"/>
      <c r="B4799" s="9"/>
      <c r="C4799" s="8"/>
    </row>
    <row r="4800" spans="1:3" x14ac:dyDescent="0.25">
      <c r="A4800" s="8"/>
      <c r="B4800" s="9"/>
      <c r="C4800" s="8"/>
    </row>
    <row r="4801" spans="1:3" x14ac:dyDescent="0.25">
      <c r="A4801" s="8"/>
      <c r="B4801" s="9"/>
      <c r="C4801" s="8"/>
    </row>
    <row r="4802" spans="1:3" x14ac:dyDescent="0.25">
      <c r="A4802" s="8"/>
      <c r="B4802" s="9"/>
      <c r="C4802" s="8"/>
    </row>
    <row r="4803" spans="1:3" x14ac:dyDescent="0.25">
      <c r="A4803" s="8"/>
      <c r="B4803" s="9"/>
      <c r="C4803" s="8"/>
    </row>
    <row r="4804" spans="1:3" x14ac:dyDescent="0.25">
      <c r="A4804" s="8"/>
      <c r="B4804" s="9"/>
      <c r="C4804" s="8"/>
    </row>
    <row r="4805" spans="1:3" x14ac:dyDescent="0.25">
      <c r="A4805" s="8"/>
      <c r="B4805" s="9"/>
      <c r="C4805" s="8"/>
    </row>
    <row r="4806" spans="1:3" x14ac:dyDescent="0.25">
      <c r="A4806" s="8"/>
      <c r="B4806" s="9"/>
      <c r="C4806" s="8"/>
    </row>
    <row r="4807" spans="1:3" x14ac:dyDescent="0.25">
      <c r="A4807" s="8"/>
      <c r="B4807" s="9"/>
      <c r="C4807" s="8"/>
    </row>
    <row r="4808" spans="1:3" x14ac:dyDescent="0.25">
      <c r="A4808" s="8"/>
      <c r="B4808" s="9"/>
      <c r="C4808" s="8"/>
    </row>
    <row r="4809" spans="1:3" x14ac:dyDescent="0.25">
      <c r="A4809" s="8"/>
      <c r="B4809" s="9"/>
      <c r="C4809" s="8"/>
    </row>
    <row r="4810" spans="1:3" x14ac:dyDescent="0.25">
      <c r="A4810" s="8"/>
      <c r="B4810" s="9"/>
      <c r="C4810" s="8"/>
    </row>
    <row r="4811" spans="1:3" x14ac:dyDescent="0.25">
      <c r="A4811" s="8"/>
      <c r="B4811" s="9"/>
      <c r="C4811" s="8"/>
    </row>
    <row r="4812" spans="1:3" x14ac:dyDescent="0.25">
      <c r="A4812" s="8"/>
      <c r="B4812" s="9"/>
      <c r="C4812" s="8"/>
    </row>
    <row r="4813" spans="1:3" x14ac:dyDescent="0.25">
      <c r="A4813" s="8"/>
      <c r="B4813" s="9"/>
      <c r="C4813" s="8"/>
    </row>
    <row r="4814" spans="1:3" x14ac:dyDescent="0.25">
      <c r="A4814" s="8"/>
      <c r="B4814" s="9"/>
      <c r="C4814" s="8"/>
    </row>
    <row r="4815" spans="1:3" x14ac:dyDescent="0.25">
      <c r="A4815" s="8"/>
      <c r="B4815" s="9"/>
      <c r="C4815" s="8"/>
    </row>
    <row r="4816" spans="1:3" x14ac:dyDescent="0.25">
      <c r="A4816" s="8"/>
      <c r="B4816" s="9"/>
      <c r="C4816" s="8"/>
    </row>
    <row r="4817" spans="1:3" x14ac:dyDescent="0.25">
      <c r="A4817" s="8"/>
      <c r="B4817" s="9"/>
      <c r="C4817" s="8"/>
    </row>
    <row r="4818" spans="1:3" x14ac:dyDescent="0.25">
      <c r="A4818" s="8"/>
      <c r="B4818" s="9"/>
      <c r="C4818" s="8"/>
    </row>
    <row r="4819" spans="1:3" x14ac:dyDescent="0.25">
      <c r="A4819" s="8"/>
      <c r="B4819" s="9"/>
      <c r="C4819" s="8"/>
    </row>
    <row r="4820" spans="1:3" x14ac:dyDescent="0.25">
      <c r="A4820" s="8"/>
      <c r="B4820" s="9"/>
      <c r="C4820" s="8"/>
    </row>
    <row r="4821" spans="1:3" x14ac:dyDescent="0.25">
      <c r="A4821" s="8"/>
      <c r="B4821" s="9"/>
      <c r="C4821" s="8"/>
    </row>
    <row r="4822" spans="1:3" x14ac:dyDescent="0.25">
      <c r="A4822" s="8"/>
      <c r="B4822" s="9"/>
      <c r="C4822" s="8"/>
    </row>
    <row r="4823" spans="1:3" x14ac:dyDescent="0.25">
      <c r="A4823" s="8"/>
      <c r="B4823" s="9"/>
      <c r="C4823" s="8"/>
    </row>
    <row r="4824" spans="1:3" x14ac:dyDescent="0.25">
      <c r="A4824" s="8"/>
      <c r="B4824" s="9"/>
      <c r="C4824" s="8"/>
    </row>
    <row r="4825" spans="1:3" x14ac:dyDescent="0.25">
      <c r="A4825" s="8"/>
      <c r="B4825" s="9"/>
      <c r="C4825" s="8"/>
    </row>
    <row r="4826" spans="1:3" x14ac:dyDescent="0.25">
      <c r="A4826" s="8"/>
      <c r="B4826" s="9"/>
      <c r="C4826" s="8"/>
    </row>
    <row r="4827" spans="1:3" x14ac:dyDescent="0.25">
      <c r="A4827" s="8"/>
      <c r="B4827" s="9"/>
      <c r="C4827" s="8"/>
    </row>
    <row r="4828" spans="1:3" x14ac:dyDescent="0.25">
      <c r="A4828" s="8"/>
      <c r="B4828" s="9"/>
      <c r="C4828" s="8"/>
    </row>
    <row r="4829" spans="1:3" x14ac:dyDescent="0.25">
      <c r="A4829" s="8"/>
      <c r="B4829" s="9"/>
      <c r="C4829" s="8"/>
    </row>
    <row r="4830" spans="1:3" x14ac:dyDescent="0.25">
      <c r="A4830" s="8"/>
      <c r="B4830" s="9"/>
      <c r="C4830" s="8"/>
    </row>
    <row r="4831" spans="1:3" x14ac:dyDescent="0.25">
      <c r="A4831" s="8"/>
      <c r="B4831" s="9"/>
      <c r="C4831" s="8"/>
    </row>
    <row r="4832" spans="1:3" x14ac:dyDescent="0.25">
      <c r="A4832" s="8"/>
      <c r="B4832" s="9"/>
      <c r="C4832" s="8"/>
    </row>
    <row r="4833" spans="1:3" x14ac:dyDescent="0.25">
      <c r="A4833" s="8"/>
      <c r="B4833" s="9"/>
      <c r="C4833" s="8"/>
    </row>
    <row r="4834" spans="1:3" x14ac:dyDescent="0.25">
      <c r="A4834" s="8"/>
      <c r="B4834" s="9"/>
      <c r="C4834" s="8"/>
    </row>
    <row r="4835" spans="1:3" x14ac:dyDescent="0.25">
      <c r="A4835" s="8"/>
      <c r="B4835" s="9"/>
      <c r="C4835" s="8"/>
    </row>
    <row r="4836" spans="1:3" x14ac:dyDescent="0.25">
      <c r="A4836" s="8"/>
      <c r="B4836" s="9"/>
      <c r="C4836" s="8"/>
    </row>
    <row r="4837" spans="1:3" x14ac:dyDescent="0.25">
      <c r="A4837" s="8"/>
      <c r="B4837" s="9"/>
      <c r="C4837" s="8"/>
    </row>
    <row r="4838" spans="1:3" x14ac:dyDescent="0.25">
      <c r="A4838" s="8"/>
      <c r="B4838" s="9"/>
      <c r="C4838" s="8"/>
    </row>
    <row r="4839" spans="1:3" x14ac:dyDescent="0.25">
      <c r="A4839" s="8"/>
      <c r="B4839" s="9"/>
      <c r="C4839" s="8"/>
    </row>
    <row r="4840" spans="1:3" x14ac:dyDescent="0.25">
      <c r="A4840" s="8"/>
      <c r="B4840" s="9"/>
      <c r="C4840" s="8"/>
    </row>
    <row r="4841" spans="1:3" x14ac:dyDescent="0.25">
      <c r="A4841" s="8"/>
      <c r="B4841" s="9"/>
      <c r="C4841" s="8"/>
    </row>
    <row r="4842" spans="1:3" x14ac:dyDescent="0.25">
      <c r="A4842" s="8"/>
      <c r="B4842" s="9"/>
      <c r="C4842" s="8"/>
    </row>
    <row r="4843" spans="1:3" x14ac:dyDescent="0.25">
      <c r="A4843" s="8"/>
      <c r="B4843" s="9"/>
      <c r="C4843" s="8"/>
    </row>
    <row r="4844" spans="1:3" x14ac:dyDescent="0.25">
      <c r="A4844" s="8"/>
      <c r="B4844" s="9"/>
      <c r="C4844" s="8"/>
    </row>
    <row r="4845" spans="1:3" x14ac:dyDescent="0.25">
      <c r="A4845" s="8"/>
      <c r="B4845" s="9"/>
      <c r="C4845" s="8"/>
    </row>
    <row r="4846" spans="1:3" x14ac:dyDescent="0.25">
      <c r="A4846" s="8"/>
      <c r="B4846" s="9"/>
      <c r="C4846" s="8"/>
    </row>
    <row r="4847" spans="1:3" x14ac:dyDescent="0.25">
      <c r="A4847" s="8"/>
      <c r="B4847" s="9"/>
      <c r="C4847" s="8"/>
    </row>
    <row r="4848" spans="1:3" x14ac:dyDescent="0.25">
      <c r="A4848" s="8"/>
      <c r="B4848" s="9"/>
      <c r="C4848" s="8"/>
    </row>
    <row r="4849" spans="1:3" x14ac:dyDescent="0.25">
      <c r="A4849" s="8"/>
      <c r="B4849" s="9"/>
      <c r="C4849" s="8"/>
    </row>
    <row r="4850" spans="1:3" x14ac:dyDescent="0.25">
      <c r="A4850" s="8"/>
      <c r="B4850" s="9"/>
      <c r="C4850" s="8"/>
    </row>
    <row r="4851" spans="1:3" x14ac:dyDescent="0.25">
      <c r="A4851" s="8"/>
      <c r="B4851" s="9"/>
      <c r="C4851" s="8"/>
    </row>
    <row r="4852" spans="1:3" x14ac:dyDescent="0.25">
      <c r="A4852" s="8"/>
      <c r="B4852" s="9"/>
      <c r="C4852" s="8"/>
    </row>
    <row r="4853" spans="1:3" x14ac:dyDescent="0.25">
      <c r="A4853" s="8"/>
      <c r="B4853" s="9"/>
      <c r="C4853" s="8"/>
    </row>
    <row r="4854" spans="1:3" x14ac:dyDescent="0.25">
      <c r="A4854" s="8"/>
      <c r="B4854" s="9"/>
      <c r="C4854" s="8"/>
    </row>
    <row r="4855" spans="1:3" x14ac:dyDescent="0.25">
      <c r="A4855" s="8"/>
      <c r="B4855" s="9"/>
      <c r="C4855" s="8"/>
    </row>
    <row r="4856" spans="1:3" x14ac:dyDescent="0.25">
      <c r="A4856" s="8"/>
      <c r="B4856" s="9"/>
      <c r="C4856" s="8"/>
    </row>
    <row r="4857" spans="1:3" x14ac:dyDescent="0.25">
      <c r="A4857" s="8"/>
      <c r="B4857" s="9"/>
      <c r="C4857" s="8"/>
    </row>
    <row r="4858" spans="1:3" x14ac:dyDescent="0.25">
      <c r="A4858" s="8"/>
      <c r="B4858" s="9"/>
      <c r="C4858" s="8"/>
    </row>
    <row r="4859" spans="1:3" x14ac:dyDescent="0.25">
      <c r="A4859" s="8"/>
      <c r="B4859" s="9"/>
      <c r="C4859" s="8"/>
    </row>
    <row r="4860" spans="1:3" x14ac:dyDescent="0.25">
      <c r="A4860" s="8"/>
      <c r="B4860" s="9"/>
      <c r="C4860" s="8"/>
    </row>
    <row r="4861" spans="1:3" x14ac:dyDescent="0.25">
      <c r="A4861" s="8"/>
      <c r="B4861" s="9"/>
      <c r="C4861" s="8"/>
    </row>
    <row r="4862" spans="1:3" x14ac:dyDescent="0.25">
      <c r="A4862" s="8"/>
      <c r="B4862" s="9"/>
      <c r="C4862" s="8"/>
    </row>
    <row r="4863" spans="1:3" x14ac:dyDescent="0.25">
      <c r="A4863" s="8"/>
      <c r="B4863" s="9"/>
      <c r="C4863" s="8"/>
    </row>
    <row r="4864" spans="1:3" x14ac:dyDescent="0.25">
      <c r="A4864" s="8"/>
      <c r="B4864" s="9"/>
      <c r="C4864" s="8"/>
    </row>
    <row r="4865" spans="1:3" x14ac:dyDescent="0.25">
      <c r="A4865" s="8"/>
      <c r="B4865" s="9"/>
      <c r="C4865" s="8"/>
    </row>
    <row r="4866" spans="1:3" x14ac:dyDescent="0.25">
      <c r="A4866" s="8"/>
      <c r="B4866" s="9"/>
      <c r="C4866" s="8"/>
    </row>
    <row r="4867" spans="1:3" x14ac:dyDescent="0.25">
      <c r="A4867" s="8"/>
      <c r="B4867" s="9"/>
      <c r="C4867" s="8"/>
    </row>
    <row r="4868" spans="1:3" x14ac:dyDescent="0.25">
      <c r="A4868" s="8"/>
      <c r="B4868" s="9"/>
      <c r="C4868" s="8"/>
    </row>
    <row r="4869" spans="1:3" x14ac:dyDescent="0.25">
      <c r="A4869" s="8"/>
      <c r="B4869" s="9"/>
      <c r="C4869" s="8"/>
    </row>
    <row r="4870" spans="1:3" x14ac:dyDescent="0.25">
      <c r="A4870" s="8"/>
      <c r="B4870" s="9"/>
      <c r="C4870" s="8"/>
    </row>
    <row r="4871" spans="1:3" x14ac:dyDescent="0.25">
      <c r="A4871" s="8"/>
      <c r="B4871" s="9"/>
      <c r="C4871" s="8"/>
    </row>
    <row r="4872" spans="1:3" x14ac:dyDescent="0.25">
      <c r="A4872" s="8"/>
      <c r="B4872" s="9"/>
      <c r="C4872" s="8"/>
    </row>
    <row r="4873" spans="1:3" x14ac:dyDescent="0.25">
      <c r="A4873" s="8"/>
      <c r="B4873" s="9"/>
      <c r="C4873" s="8"/>
    </row>
    <row r="4874" spans="1:3" x14ac:dyDescent="0.25">
      <c r="A4874" s="8"/>
      <c r="B4874" s="9"/>
      <c r="C4874" s="8"/>
    </row>
    <row r="4875" spans="1:3" x14ac:dyDescent="0.25">
      <c r="A4875" s="8"/>
      <c r="B4875" s="9"/>
      <c r="C4875" s="8"/>
    </row>
    <row r="4876" spans="1:3" x14ac:dyDescent="0.25">
      <c r="A4876" s="8"/>
      <c r="B4876" s="9"/>
      <c r="C4876" s="8"/>
    </row>
    <row r="4877" spans="1:3" x14ac:dyDescent="0.25">
      <c r="A4877" s="8"/>
      <c r="B4877" s="9"/>
      <c r="C4877" s="8"/>
    </row>
    <row r="4878" spans="1:3" x14ac:dyDescent="0.25">
      <c r="A4878" s="8"/>
      <c r="B4878" s="9"/>
      <c r="C4878" s="8"/>
    </row>
    <row r="4879" spans="1:3" x14ac:dyDescent="0.25">
      <c r="A4879" s="8"/>
      <c r="B4879" s="9"/>
      <c r="C4879" s="8"/>
    </row>
    <row r="4880" spans="1:3" x14ac:dyDescent="0.25">
      <c r="A4880" s="8"/>
      <c r="B4880" s="9"/>
      <c r="C4880" s="8"/>
    </row>
    <row r="4881" spans="1:3" x14ac:dyDescent="0.25">
      <c r="A4881" s="8"/>
      <c r="B4881" s="9"/>
      <c r="C4881" s="8"/>
    </row>
    <row r="4882" spans="1:3" x14ac:dyDescent="0.25">
      <c r="A4882" s="8"/>
      <c r="B4882" s="9"/>
      <c r="C4882" s="8"/>
    </row>
    <row r="4883" spans="1:3" x14ac:dyDescent="0.25">
      <c r="A4883" s="8"/>
      <c r="B4883" s="9"/>
      <c r="C4883" s="8"/>
    </row>
    <row r="4884" spans="1:3" x14ac:dyDescent="0.25">
      <c r="A4884" s="8"/>
      <c r="B4884" s="9"/>
      <c r="C4884" s="8"/>
    </row>
    <row r="4885" spans="1:3" x14ac:dyDescent="0.25">
      <c r="A4885" s="8"/>
      <c r="B4885" s="9"/>
      <c r="C4885" s="8"/>
    </row>
    <row r="4886" spans="1:3" x14ac:dyDescent="0.25">
      <c r="A4886" s="8"/>
      <c r="B4886" s="9"/>
      <c r="C4886" s="8"/>
    </row>
    <row r="4887" spans="1:3" x14ac:dyDescent="0.25">
      <c r="A4887" s="8"/>
      <c r="B4887" s="9"/>
      <c r="C4887" s="8"/>
    </row>
    <row r="4888" spans="1:3" x14ac:dyDescent="0.25">
      <c r="A4888" s="8"/>
      <c r="B4888" s="9"/>
      <c r="C4888" s="8"/>
    </row>
    <row r="4889" spans="1:3" x14ac:dyDescent="0.25">
      <c r="A4889" s="8"/>
      <c r="B4889" s="9"/>
      <c r="C4889" s="8"/>
    </row>
    <row r="4890" spans="1:3" x14ac:dyDescent="0.25">
      <c r="A4890" s="8"/>
      <c r="B4890" s="9"/>
      <c r="C4890" s="8"/>
    </row>
    <row r="4891" spans="1:3" x14ac:dyDescent="0.25">
      <c r="A4891" s="8"/>
      <c r="B4891" s="9"/>
      <c r="C4891" s="8"/>
    </row>
    <row r="4892" spans="1:3" x14ac:dyDescent="0.25">
      <c r="A4892" s="8"/>
      <c r="B4892" s="9"/>
      <c r="C4892" s="8"/>
    </row>
    <row r="4893" spans="1:3" x14ac:dyDescent="0.25">
      <c r="A4893" s="8"/>
      <c r="B4893" s="9"/>
      <c r="C4893" s="8"/>
    </row>
    <row r="4894" spans="1:3" x14ac:dyDescent="0.25">
      <c r="A4894" s="8"/>
      <c r="B4894" s="9"/>
      <c r="C4894" s="8"/>
    </row>
    <row r="4895" spans="1:3" x14ac:dyDescent="0.25">
      <c r="A4895" s="8"/>
      <c r="B4895" s="9"/>
      <c r="C4895" s="8"/>
    </row>
    <row r="4896" spans="1:3" x14ac:dyDescent="0.25">
      <c r="A4896" s="8"/>
      <c r="B4896" s="9"/>
      <c r="C4896" s="8"/>
    </row>
    <row r="4897" spans="1:3" x14ac:dyDescent="0.25">
      <c r="A4897" s="8"/>
      <c r="B4897" s="9"/>
      <c r="C4897" s="8"/>
    </row>
    <row r="4898" spans="1:3" x14ac:dyDescent="0.25">
      <c r="A4898" s="8"/>
      <c r="B4898" s="9"/>
      <c r="C4898" s="8"/>
    </row>
    <row r="4899" spans="1:3" x14ac:dyDescent="0.25">
      <c r="A4899" s="8"/>
      <c r="B4899" s="9"/>
      <c r="C4899" s="8"/>
    </row>
    <row r="4900" spans="1:3" x14ac:dyDescent="0.25">
      <c r="A4900" s="8"/>
      <c r="B4900" s="9"/>
      <c r="C4900" s="8"/>
    </row>
    <row r="4901" spans="1:3" x14ac:dyDescent="0.25">
      <c r="A4901" s="8"/>
      <c r="B4901" s="9"/>
      <c r="C4901" s="8"/>
    </row>
    <row r="4902" spans="1:3" x14ac:dyDescent="0.25">
      <c r="A4902" s="8"/>
      <c r="B4902" s="9"/>
      <c r="C4902" s="8"/>
    </row>
    <row r="4903" spans="1:3" x14ac:dyDescent="0.25">
      <c r="A4903" s="8"/>
      <c r="B4903" s="9"/>
      <c r="C4903" s="8"/>
    </row>
    <row r="4904" spans="1:3" x14ac:dyDescent="0.25">
      <c r="A4904" s="8"/>
      <c r="B4904" s="9"/>
      <c r="C4904" s="8"/>
    </row>
    <row r="4905" spans="1:3" x14ac:dyDescent="0.25">
      <c r="A4905" s="8"/>
      <c r="B4905" s="9"/>
      <c r="C4905" s="8"/>
    </row>
    <row r="4906" spans="1:3" x14ac:dyDescent="0.25">
      <c r="A4906" s="8"/>
      <c r="B4906" s="9"/>
      <c r="C4906" s="8"/>
    </row>
    <row r="4907" spans="1:3" x14ac:dyDescent="0.25">
      <c r="A4907" s="8"/>
      <c r="B4907" s="9"/>
      <c r="C4907" s="8"/>
    </row>
    <row r="4908" spans="1:3" x14ac:dyDescent="0.25">
      <c r="A4908" s="8"/>
      <c r="B4908" s="9"/>
      <c r="C4908" s="8"/>
    </row>
    <row r="4909" spans="1:3" x14ac:dyDescent="0.25">
      <c r="A4909" s="8"/>
      <c r="B4909" s="9"/>
      <c r="C4909" s="8"/>
    </row>
    <row r="4910" spans="1:3" x14ac:dyDescent="0.25">
      <c r="A4910" s="8"/>
      <c r="B4910" s="9"/>
      <c r="C4910" s="8"/>
    </row>
    <row r="4911" spans="1:3" x14ac:dyDescent="0.25">
      <c r="A4911" s="8"/>
      <c r="B4911" s="9"/>
      <c r="C4911" s="8"/>
    </row>
    <row r="4912" spans="1:3" x14ac:dyDescent="0.25">
      <c r="A4912" s="8"/>
      <c r="B4912" s="9"/>
      <c r="C4912" s="8"/>
    </row>
    <row r="4913" spans="1:3" x14ac:dyDescent="0.25">
      <c r="A4913" s="8"/>
      <c r="B4913" s="9"/>
      <c r="C4913" s="8"/>
    </row>
    <row r="4914" spans="1:3" x14ac:dyDescent="0.25">
      <c r="A4914" s="8"/>
      <c r="B4914" s="9"/>
      <c r="C4914" s="8"/>
    </row>
    <row r="4915" spans="1:3" x14ac:dyDescent="0.25">
      <c r="A4915" s="8"/>
      <c r="B4915" s="9"/>
      <c r="C4915" s="8"/>
    </row>
    <row r="4916" spans="1:3" x14ac:dyDescent="0.25">
      <c r="A4916" s="8"/>
      <c r="B4916" s="9"/>
      <c r="C4916" s="8"/>
    </row>
    <row r="4917" spans="1:3" x14ac:dyDescent="0.25">
      <c r="A4917" s="8"/>
      <c r="B4917" s="9"/>
      <c r="C4917" s="8"/>
    </row>
    <row r="4918" spans="1:3" x14ac:dyDescent="0.25">
      <c r="A4918" s="8"/>
      <c r="B4918" s="9"/>
      <c r="C4918" s="8"/>
    </row>
    <row r="4919" spans="1:3" x14ac:dyDescent="0.25">
      <c r="A4919" s="8"/>
      <c r="B4919" s="9"/>
      <c r="C4919" s="8"/>
    </row>
    <row r="4920" spans="1:3" x14ac:dyDescent="0.25">
      <c r="A4920" s="8"/>
      <c r="B4920" s="9"/>
      <c r="C4920" s="8"/>
    </row>
    <row r="4921" spans="1:3" x14ac:dyDescent="0.25">
      <c r="A4921" s="8"/>
      <c r="B4921" s="9"/>
      <c r="C4921" s="8"/>
    </row>
    <row r="4922" spans="1:3" x14ac:dyDescent="0.25">
      <c r="A4922" s="8"/>
      <c r="B4922" s="9"/>
      <c r="C4922" s="8"/>
    </row>
    <row r="4923" spans="1:3" x14ac:dyDescent="0.25">
      <c r="A4923" s="8"/>
      <c r="B4923" s="9"/>
      <c r="C4923" s="8"/>
    </row>
    <row r="4924" spans="1:3" x14ac:dyDescent="0.25">
      <c r="A4924" s="8"/>
      <c r="B4924" s="9"/>
      <c r="C4924" s="8"/>
    </row>
    <row r="4925" spans="1:3" x14ac:dyDescent="0.25">
      <c r="A4925" s="8"/>
      <c r="B4925" s="9"/>
      <c r="C4925" s="8"/>
    </row>
    <row r="4926" spans="1:3" x14ac:dyDescent="0.25">
      <c r="A4926" s="8"/>
      <c r="B4926" s="9"/>
      <c r="C4926" s="8"/>
    </row>
    <row r="4927" spans="1:3" x14ac:dyDescent="0.25">
      <c r="A4927" s="8"/>
      <c r="B4927" s="9"/>
      <c r="C4927" s="8"/>
    </row>
    <row r="4928" spans="1:3" x14ac:dyDescent="0.25">
      <c r="A4928" s="8"/>
      <c r="B4928" s="9"/>
      <c r="C4928" s="8"/>
    </row>
    <row r="4929" spans="1:3" x14ac:dyDescent="0.25">
      <c r="A4929" s="8"/>
      <c r="B4929" s="9"/>
      <c r="C4929" s="8"/>
    </row>
    <row r="4930" spans="1:3" x14ac:dyDescent="0.25">
      <c r="A4930" s="8"/>
      <c r="B4930" s="9"/>
      <c r="C4930" s="8"/>
    </row>
    <row r="4931" spans="1:3" x14ac:dyDescent="0.25">
      <c r="A4931" s="8"/>
      <c r="B4931" s="9"/>
      <c r="C4931" s="8"/>
    </row>
    <row r="4932" spans="1:3" x14ac:dyDescent="0.25">
      <c r="A4932" s="8"/>
      <c r="B4932" s="9"/>
      <c r="C4932" s="8"/>
    </row>
    <row r="4933" spans="1:3" x14ac:dyDescent="0.25">
      <c r="A4933" s="8"/>
      <c r="B4933" s="9"/>
      <c r="C4933" s="8"/>
    </row>
    <row r="4934" spans="1:3" x14ac:dyDescent="0.25">
      <c r="A4934" s="8"/>
      <c r="B4934" s="9"/>
      <c r="C4934" s="8"/>
    </row>
    <row r="4935" spans="1:3" x14ac:dyDescent="0.25">
      <c r="A4935" s="8"/>
      <c r="B4935" s="9"/>
      <c r="C4935" s="8"/>
    </row>
    <row r="4936" spans="1:3" x14ac:dyDescent="0.25">
      <c r="A4936" s="8"/>
      <c r="B4936" s="9"/>
      <c r="C4936" s="8"/>
    </row>
    <row r="4937" spans="1:3" x14ac:dyDescent="0.25">
      <c r="A4937" s="8"/>
      <c r="B4937" s="9"/>
      <c r="C4937" s="8"/>
    </row>
    <row r="4938" spans="1:3" x14ac:dyDescent="0.25">
      <c r="A4938" s="8"/>
      <c r="B4938" s="9"/>
      <c r="C4938" s="8"/>
    </row>
    <row r="4939" spans="1:3" x14ac:dyDescent="0.25">
      <c r="A4939" s="8"/>
      <c r="B4939" s="9"/>
      <c r="C4939" s="8"/>
    </row>
    <row r="4940" spans="1:3" x14ac:dyDescent="0.25">
      <c r="A4940" s="8"/>
      <c r="B4940" s="9"/>
      <c r="C4940" s="8"/>
    </row>
    <row r="4941" spans="1:3" x14ac:dyDescent="0.25">
      <c r="A4941" s="8"/>
      <c r="B4941" s="9"/>
      <c r="C4941" s="8"/>
    </row>
    <row r="4942" spans="1:3" x14ac:dyDescent="0.25">
      <c r="A4942" s="8"/>
      <c r="B4942" s="9"/>
      <c r="C4942" s="8"/>
    </row>
    <row r="4943" spans="1:3" x14ac:dyDescent="0.25">
      <c r="A4943" s="8"/>
      <c r="B4943" s="9"/>
      <c r="C4943" s="8"/>
    </row>
    <row r="4944" spans="1:3" x14ac:dyDescent="0.25">
      <c r="A4944" s="8"/>
      <c r="B4944" s="9"/>
      <c r="C4944" s="8"/>
    </row>
    <row r="4945" spans="1:3" x14ac:dyDescent="0.25">
      <c r="A4945" s="8"/>
      <c r="B4945" s="9"/>
      <c r="C4945" s="8"/>
    </row>
    <row r="4946" spans="1:3" x14ac:dyDescent="0.25">
      <c r="A4946" s="8"/>
      <c r="B4946" s="9"/>
      <c r="C4946" s="8"/>
    </row>
    <row r="4947" spans="1:3" x14ac:dyDescent="0.25">
      <c r="A4947" s="8"/>
      <c r="B4947" s="9"/>
      <c r="C4947" s="8"/>
    </row>
    <row r="4948" spans="1:3" x14ac:dyDescent="0.25">
      <c r="A4948" s="8"/>
      <c r="B4948" s="9"/>
      <c r="C4948" s="8"/>
    </row>
    <row r="4949" spans="1:3" x14ac:dyDescent="0.25">
      <c r="A4949" s="8"/>
      <c r="B4949" s="9"/>
      <c r="C4949" s="8"/>
    </row>
    <row r="4950" spans="1:3" x14ac:dyDescent="0.25">
      <c r="A4950" s="8"/>
      <c r="B4950" s="9"/>
      <c r="C4950" s="8"/>
    </row>
    <row r="4951" spans="1:3" x14ac:dyDescent="0.25">
      <c r="A4951" s="8"/>
      <c r="B4951" s="9"/>
      <c r="C4951" s="8"/>
    </row>
    <row r="4952" spans="1:3" x14ac:dyDescent="0.25">
      <c r="A4952" s="8"/>
      <c r="B4952" s="9"/>
      <c r="C4952" s="8"/>
    </row>
    <row r="4953" spans="1:3" x14ac:dyDescent="0.25">
      <c r="A4953" s="8"/>
      <c r="B4953" s="9"/>
      <c r="C4953" s="8"/>
    </row>
    <row r="4954" spans="1:3" x14ac:dyDescent="0.25">
      <c r="A4954" s="8"/>
      <c r="B4954" s="9"/>
      <c r="C4954" s="8"/>
    </row>
    <row r="4955" spans="1:3" x14ac:dyDescent="0.25">
      <c r="A4955" s="8"/>
      <c r="B4955" s="9"/>
      <c r="C4955" s="8"/>
    </row>
    <row r="4956" spans="1:3" x14ac:dyDescent="0.25">
      <c r="A4956" s="8"/>
      <c r="B4956" s="9"/>
      <c r="C4956" s="8"/>
    </row>
    <row r="4957" spans="1:3" x14ac:dyDescent="0.25">
      <c r="A4957" s="8"/>
      <c r="B4957" s="9"/>
      <c r="C4957" s="8"/>
    </row>
    <row r="4958" spans="1:3" x14ac:dyDescent="0.25">
      <c r="A4958" s="8"/>
      <c r="B4958" s="9"/>
      <c r="C4958" s="8"/>
    </row>
    <row r="4959" spans="1:3" x14ac:dyDescent="0.25">
      <c r="A4959" s="8"/>
      <c r="B4959" s="9"/>
      <c r="C4959" s="8"/>
    </row>
    <row r="4960" spans="1:3" x14ac:dyDescent="0.25">
      <c r="A4960" s="8"/>
      <c r="B4960" s="9"/>
      <c r="C4960" s="8"/>
    </row>
    <row r="4961" spans="1:3" x14ac:dyDescent="0.25">
      <c r="A4961" s="8"/>
      <c r="B4961" s="9"/>
      <c r="C4961" s="8"/>
    </row>
    <row r="4962" spans="1:3" x14ac:dyDescent="0.25">
      <c r="A4962" s="8"/>
      <c r="B4962" s="9"/>
      <c r="C4962" s="8"/>
    </row>
    <row r="4963" spans="1:3" x14ac:dyDescent="0.25">
      <c r="A4963" s="8"/>
      <c r="B4963" s="9"/>
      <c r="C4963" s="8"/>
    </row>
    <row r="4964" spans="1:3" x14ac:dyDescent="0.25">
      <c r="A4964" s="8"/>
      <c r="B4964" s="9"/>
      <c r="C4964" s="8"/>
    </row>
    <row r="4965" spans="1:3" x14ac:dyDescent="0.25">
      <c r="A4965" s="8"/>
      <c r="B4965" s="9"/>
      <c r="C4965" s="8"/>
    </row>
    <row r="4966" spans="1:3" x14ac:dyDescent="0.25">
      <c r="A4966" s="8"/>
      <c r="B4966" s="9"/>
      <c r="C4966" s="8"/>
    </row>
    <row r="4967" spans="1:3" x14ac:dyDescent="0.25">
      <c r="A4967" s="8"/>
      <c r="B4967" s="9"/>
      <c r="C4967" s="8"/>
    </row>
    <row r="4968" spans="1:3" x14ac:dyDescent="0.25">
      <c r="A4968" s="8"/>
      <c r="B4968" s="9"/>
      <c r="C4968" s="8"/>
    </row>
    <row r="4969" spans="1:3" x14ac:dyDescent="0.25">
      <c r="A4969" s="8"/>
      <c r="B4969" s="9"/>
      <c r="C4969" s="8"/>
    </row>
    <row r="4970" spans="1:3" x14ac:dyDescent="0.25">
      <c r="A4970" s="8"/>
      <c r="B4970" s="9"/>
      <c r="C4970" s="8"/>
    </row>
    <row r="4971" spans="1:3" x14ac:dyDescent="0.25">
      <c r="A4971" s="8"/>
      <c r="B4971" s="9"/>
      <c r="C4971" s="8"/>
    </row>
    <row r="4972" spans="1:3" x14ac:dyDescent="0.25">
      <c r="A4972" s="8"/>
      <c r="B4972" s="9"/>
      <c r="C4972" s="8"/>
    </row>
    <row r="4973" spans="1:3" x14ac:dyDescent="0.25">
      <c r="A4973" s="8"/>
      <c r="B4973" s="9"/>
      <c r="C4973" s="8"/>
    </row>
    <row r="4974" spans="1:3" x14ac:dyDescent="0.25">
      <c r="A4974" s="8"/>
      <c r="B4974" s="9"/>
      <c r="C4974" s="8"/>
    </row>
    <row r="4975" spans="1:3" x14ac:dyDescent="0.25">
      <c r="A4975" s="8"/>
      <c r="B4975" s="9"/>
      <c r="C4975" s="8"/>
    </row>
    <row r="4976" spans="1:3" x14ac:dyDescent="0.25">
      <c r="A4976" s="8"/>
      <c r="B4976" s="9"/>
      <c r="C4976" s="8"/>
    </row>
    <row r="4977" spans="1:3" x14ac:dyDescent="0.25">
      <c r="A4977" s="8"/>
      <c r="B4977" s="9"/>
      <c r="C4977" s="8"/>
    </row>
    <row r="4978" spans="1:3" x14ac:dyDescent="0.25">
      <c r="A4978" s="8"/>
      <c r="B4978" s="9"/>
      <c r="C4978" s="8"/>
    </row>
    <row r="4979" spans="1:3" x14ac:dyDescent="0.25">
      <c r="A4979" s="8"/>
      <c r="B4979" s="9"/>
      <c r="C4979" s="8"/>
    </row>
    <row r="4980" spans="1:3" x14ac:dyDescent="0.25">
      <c r="A4980" s="8"/>
      <c r="B4980" s="9"/>
      <c r="C4980" s="8"/>
    </row>
    <row r="4981" spans="1:3" x14ac:dyDescent="0.25">
      <c r="A4981" s="8"/>
      <c r="B4981" s="9"/>
      <c r="C4981" s="8"/>
    </row>
    <row r="4982" spans="1:3" x14ac:dyDescent="0.25">
      <c r="A4982" s="8"/>
      <c r="B4982" s="9"/>
      <c r="C4982" s="8"/>
    </row>
    <row r="4983" spans="1:3" x14ac:dyDescent="0.25">
      <c r="A4983" s="8"/>
      <c r="B4983" s="9"/>
      <c r="C4983" s="8"/>
    </row>
    <row r="4984" spans="1:3" x14ac:dyDescent="0.25">
      <c r="A4984" s="8"/>
      <c r="B4984" s="9"/>
      <c r="C4984" s="8"/>
    </row>
    <row r="4985" spans="1:3" x14ac:dyDescent="0.25">
      <c r="A4985" s="8"/>
      <c r="B4985" s="9"/>
      <c r="C4985" s="8"/>
    </row>
    <row r="4986" spans="1:3" x14ac:dyDescent="0.25">
      <c r="A4986" s="8"/>
      <c r="B4986" s="9"/>
      <c r="C4986" s="8"/>
    </row>
    <row r="4987" spans="1:3" x14ac:dyDescent="0.25">
      <c r="A4987" s="8"/>
      <c r="B4987" s="9"/>
      <c r="C4987" s="8"/>
    </row>
    <row r="4988" spans="1:3" x14ac:dyDescent="0.25">
      <c r="A4988" s="8"/>
      <c r="B4988" s="9"/>
      <c r="C4988" s="8"/>
    </row>
    <row r="4989" spans="1:3" x14ac:dyDescent="0.25">
      <c r="A4989" s="8"/>
      <c r="B4989" s="9"/>
      <c r="C4989" s="8"/>
    </row>
    <row r="4990" spans="1:3" x14ac:dyDescent="0.25">
      <c r="A4990" s="8"/>
      <c r="B4990" s="9"/>
      <c r="C4990" s="8"/>
    </row>
    <row r="4991" spans="1:3" x14ac:dyDescent="0.25">
      <c r="A4991" s="8"/>
      <c r="B4991" s="9"/>
      <c r="C4991" s="8"/>
    </row>
    <row r="4992" spans="1:3" x14ac:dyDescent="0.25">
      <c r="A4992" s="8"/>
      <c r="B4992" s="9"/>
      <c r="C4992" s="8"/>
    </row>
    <row r="4993" spans="1:3" x14ac:dyDescent="0.25">
      <c r="A4993" s="8"/>
      <c r="B4993" s="9"/>
      <c r="C4993" s="8"/>
    </row>
    <row r="4994" spans="1:3" x14ac:dyDescent="0.25">
      <c r="A4994" s="8"/>
      <c r="B4994" s="9"/>
      <c r="C4994" s="8"/>
    </row>
    <row r="4995" spans="1:3" x14ac:dyDescent="0.25">
      <c r="A4995" s="8"/>
      <c r="B4995" s="9"/>
      <c r="C4995" s="8"/>
    </row>
    <row r="4996" spans="1:3" x14ac:dyDescent="0.25">
      <c r="A4996" s="8"/>
      <c r="B4996" s="9"/>
      <c r="C4996" s="8"/>
    </row>
    <row r="4997" spans="1:3" x14ac:dyDescent="0.25">
      <c r="A4997" s="8"/>
      <c r="B4997" s="9"/>
      <c r="C4997" s="8"/>
    </row>
    <row r="4998" spans="1:3" x14ac:dyDescent="0.25">
      <c r="A4998" s="8"/>
      <c r="B4998" s="9"/>
      <c r="C4998" s="8"/>
    </row>
    <row r="4999" spans="1:3" x14ac:dyDescent="0.25">
      <c r="A4999" s="8"/>
      <c r="B4999" s="9"/>
      <c r="C4999" s="8"/>
    </row>
    <row r="5000" spans="1:3" x14ac:dyDescent="0.25">
      <c r="A5000" s="8"/>
      <c r="B5000" s="9"/>
      <c r="C5000" s="8"/>
    </row>
    <row r="5001" spans="1:3" x14ac:dyDescent="0.25">
      <c r="A5001" s="8"/>
      <c r="B5001" s="9"/>
      <c r="C5001" s="8"/>
    </row>
    <row r="5002" spans="1:3" x14ac:dyDescent="0.25">
      <c r="A5002" s="8"/>
      <c r="B5002" s="9"/>
      <c r="C5002" s="8"/>
    </row>
    <row r="5003" spans="1:3" x14ac:dyDescent="0.25">
      <c r="A5003" s="8"/>
      <c r="B5003" s="9"/>
      <c r="C5003" s="8"/>
    </row>
    <row r="5004" spans="1:3" x14ac:dyDescent="0.25">
      <c r="A5004" s="8"/>
      <c r="B5004" s="9"/>
      <c r="C5004" s="8"/>
    </row>
    <row r="5005" spans="1:3" x14ac:dyDescent="0.25">
      <c r="A5005" s="8"/>
      <c r="B5005" s="9"/>
      <c r="C5005" s="8"/>
    </row>
    <row r="5006" spans="1:3" x14ac:dyDescent="0.25">
      <c r="A5006" s="8"/>
      <c r="B5006" s="9"/>
      <c r="C5006" s="8"/>
    </row>
    <row r="5007" spans="1:3" x14ac:dyDescent="0.25">
      <c r="A5007" s="8"/>
      <c r="B5007" s="9"/>
      <c r="C5007" s="8"/>
    </row>
    <row r="5008" spans="1:3" x14ac:dyDescent="0.25">
      <c r="A5008" s="8"/>
      <c r="B5008" s="9"/>
      <c r="C5008" s="8"/>
    </row>
    <row r="5009" spans="1:3" x14ac:dyDescent="0.25">
      <c r="A5009" s="8"/>
      <c r="B5009" s="9"/>
      <c r="C5009" s="8"/>
    </row>
    <row r="5010" spans="1:3" x14ac:dyDescent="0.25">
      <c r="A5010" s="8"/>
      <c r="B5010" s="9"/>
      <c r="C5010" s="8"/>
    </row>
    <row r="5011" spans="1:3" x14ac:dyDescent="0.25">
      <c r="A5011" s="8"/>
      <c r="B5011" s="9"/>
      <c r="C5011" s="8"/>
    </row>
    <row r="5012" spans="1:3" x14ac:dyDescent="0.25">
      <c r="A5012" s="8"/>
      <c r="B5012" s="9"/>
      <c r="C5012" s="8"/>
    </row>
    <row r="5013" spans="1:3" x14ac:dyDescent="0.25">
      <c r="A5013" s="8"/>
      <c r="B5013" s="9"/>
      <c r="C5013" s="8"/>
    </row>
    <row r="5014" spans="1:3" x14ac:dyDescent="0.25">
      <c r="A5014" s="8"/>
      <c r="B5014" s="9"/>
      <c r="C5014" s="8"/>
    </row>
    <row r="5015" spans="1:3" x14ac:dyDescent="0.25">
      <c r="A5015" s="8"/>
      <c r="B5015" s="9"/>
      <c r="C5015" s="8"/>
    </row>
    <row r="5016" spans="1:3" x14ac:dyDescent="0.25">
      <c r="A5016" s="8"/>
      <c r="B5016" s="9"/>
      <c r="C5016" s="8"/>
    </row>
    <row r="5017" spans="1:3" x14ac:dyDescent="0.25">
      <c r="A5017" s="8"/>
      <c r="B5017" s="9"/>
      <c r="C5017" s="8"/>
    </row>
    <row r="5018" spans="1:3" x14ac:dyDescent="0.25">
      <c r="A5018" s="8"/>
      <c r="B5018" s="9"/>
      <c r="C5018" s="8"/>
    </row>
    <row r="5019" spans="1:3" x14ac:dyDescent="0.25">
      <c r="A5019" s="8"/>
      <c r="B5019" s="9"/>
      <c r="C5019" s="8"/>
    </row>
    <row r="5020" spans="1:3" x14ac:dyDescent="0.25">
      <c r="A5020" s="8"/>
      <c r="B5020" s="9"/>
      <c r="C5020" s="8"/>
    </row>
    <row r="5021" spans="1:3" x14ac:dyDescent="0.25">
      <c r="A5021" s="8"/>
      <c r="B5021" s="9"/>
      <c r="C5021" s="8"/>
    </row>
    <row r="5022" spans="1:3" x14ac:dyDescent="0.25">
      <c r="A5022" s="8"/>
      <c r="B5022" s="9"/>
      <c r="C5022" s="8"/>
    </row>
    <row r="5023" spans="1:3" x14ac:dyDescent="0.25">
      <c r="A5023" s="8"/>
      <c r="B5023" s="9"/>
      <c r="C5023" s="8"/>
    </row>
    <row r="5024" spans="1:3" x14ac:dyDescent="0.25">
      <c r="A5024" s="8"/>
      <c r="B5024" s="9"/>
      <c r="C5024" s="8"/>
    </row>
    <row r="5025" spans="1:3" x14ac:dyDescent="0.25">
      <c r="A5025" s="8"/>
      <c r="B5025" s="9"/>
      <c r="C5025" s="8"/>
    </row>
    <row r="5026" spans="1:3" x14ac:dyDescent="0.25">
      <c r="A5026" s="8"/>
      <c r="B5026" s="9"/>
      <c r="C5026" s="8"/>
    </row>
    <row r="5027" spans="1:3" x14ac:dyDescent="0.25">
      <c r="A5027" s="8"/>
      <c r="B5027" s="9"/>
      <c r="C5027" s="8"/>
    </row>
    <row r="5028" spans="1:3" x14ac:dyDescent="0.25">
      <c r="A5028" s="8"/>
      <c r="B5028" s="9"/>
      <c r="C5028" s="8"/>
    </row>
    <row r="5029" spans="1:3" x14ac:dyDescent="0.25">
      <c r="A5029" s="8"/>
      <c r="B5029" s="9"/>
      <c r="C5029" s="8"/>
    </row>
    <row r="5030" spans="1:3" x14ac:dyDescent="0.25">
      <c r="A5030" s="8"/>
      <c r="B5030" s="9"/>
      <c r="C5030" s="8"/>
    </row>
    <row r="5031" spans="1:3" x14ac:dyDescent="0.25">
      <c r="A5031" s="8"/>
      <c r="B5031" s="9"/>
      <c r="C5031" s="8"/>
    </row>
    <row r="5032" spans="1:3" x14ac:dyDescent="0.25">
      <c r="A5032" s="8"/>
      <c r="B5032" s="9"/>
      <c r="C5032" s="8"/>
    </row>
    <row r="5033" spans="1:3" x14ac:dyDescent="0.25">
      <c r="A5033" s="8"/>
      <c r="B5033" s="9"/>
      <c r="C5033" s="8"/>
    </row>
    <row r="5034" spans="1:3" x14ac:dyDescent="0.25">
      <c r="A5034" s="8"/>
      <c r="B5034" s="9"/>
      <c r="C5034" s="8"/>
    </row>
    <row r="5035" spans="1:3" x14ac:dyDescent="0.25">
      <c r="A5035" s="8"/>
      <c r="B5035" s="9"/>
      <c r="C5035" s="8"/>
    </row>
    <row r="5036" spans="1:3" x14ac:dyDescent="0.25">
      <c r="A5036" s="8"/>
      <c r="B5036" s="9"/>
      <c r="C5036" s="8"/>
    </row>
    <row r="5037" spans="1:3" x14ac:dyDescent="0.25">
      <c r="A5037" s="8"/>
      <c r="B5037" s="9"/>
      <c r="C5037" s="8"/>
    </row>
    <row r="5038" spans="1:3" x14ac:dyDescent="0.25">
      <c r="A5038" s="8"/>
      <c r="B5038" s="9"/>
      <c r="C5038" s="8"/>
    </row>
    <row r="5039" spans="1:3" x14ac:dyDescent="0.25">
      <c r="A5039" s="8"/>
      <c r="B5039" s="9"/>
      <c r="C5039" s="8"/>
    </row>
    <row r="5040" spans="1:3" x14ac:dyDescent="0.25">
      <c r="A5040" s="8"/>
      <c r="B5040" s="9"/>
      <c r="C5040" s="8"/>
    </row>
    <row r="5041" spans="1:3" x14ac:dyDescent="0.25">
      <c r="A5041" s="8"/>
      <c r="B5041" s="9"/>
      <c r="C5041" s="8"/>
    </row>
    <row r="5042" spans="1:3" x14ac:dyDescent="0.25">
      <c r="A5042" s="8"/>
      <c r="B5042" s="9"/>
      <c r="C5042" s="8"/>
    </row>
    <row r="5043" spans="1:3" x14ac:dyDescent="0.25">
      <c r="A5043" s="8"/>
      <c r="B5043" s="9"/>
      <c r="C5043" s="8"/>
    </row>
    <row r="5044" spans="1:3" x14ac:dyDescent="0.25">
      <c r="A5044" s="8"/>
      <c r="B5044" s="9"/>
      <c r="C5044" s="8"/>
    </row>
    <row r="5045" spans="1:3" x14ac:dyDescent="0.25">
      <c r="A5045" s="8"/>
      <c r="B5045" s="9"/>
      <c r="C5045" s="8"/>
    </row>
    <row r="5046" spans="1:3" x14ac:dyDescent="0.25">
      <c r="A5046" s="8"/>
      <c r="B5046" s="9"/>
      <c r="C5046" s="8"/>
    </row>
    <row r="5047" spans="1:3" x14ac:dyDescent="0.25">
      <c r="A5047" s="8"/>
      <c r="B5047" s="9"/>
      <c r="C5047" s="8"/>
    </row>
    <row r="5048" spans="1:3" x14ac:dyDescent="0.25">
      <c r="A5048" s="8"/>
      <c r="B5048" s="9"/>
      <c r="C5048" s="8"/>
    </row>
    <row r="5049" spans="1:3" x14ac:dyDescent="0.25">
      <c r="A5049" s="8"/>
      <c r="B5049" s="9"/>
      <c r="C5049" s="8"/>
    </row>
    <row r="5050" spans="1:3" x14ac:dyDescent="0.25">
      <c r="A5050" s="8"/>
      <c r="B5050" s="9"/>
      <c r="C5050" s="8"/>
    </row>
    <row r="5051" spans="1:3" x14ac:dyDescent="0.25">
      <c r="A5051" s="8"/>
      <c r="B5051" s="9"/>
      <c r="C5051" s="8"/>
    </row>
    <row r="5052" spans="1:3" x14ac:dyDescent="0.25">
      <c r="A5052" s="8"/>
      <c r="B5052" s="9"/>
      <c r="C5052" s="8"/>
    </row>
    <row r="5053" spans="1:3" x14ac:dyDescent="0.25">
      <c r="A5053" s="8"/>
      <c r="B5053" s="9"/>
      <c r="C5053" s="8"/>
    </row>
    <row r="5054" spans="1:3" x14ac:dyDescent="0.25">
      <c r="A5054" s="8"/>
      <c r="B5054" s="9"/>
      <c r="C5054" s="8"/>
    </row>
    <row r="5055" spans="1:3" x14ac:dyDescent="0.25">
      <c r="A5055" s="8"/>
      <c r="B5055" s="9"/>
      <c r="C5055" s="8"/>
    </row>
    <row r="5056" spans="1:3" x14ac:dyDescent="0.25">
      <c r="A5056" s="8"/>
      <c r="B5056" s="9"/>
      <c r="C5056" s="8"/>
    </row>
    <row r="5057" spans="1:3" x14ac:dyDescent="0.25">
      <c r="A5057" s="8"/>
      <c r="B5057" s="9"/>
      <c r="C5057" s="8"/>
    </row>
    <row r="5058" spans="1:3" x14ac:dyDescent="0.25">
      <c r="A5058" s="8"/>
      <c r="B5058" s="9"/>
      <c r="C5058" s="8"/>
    </row>
    <row r="5059" spans="1:3" x14ac:dyDescent="0.25">
      <c r="A5059" s="8"/>
      <c r="B5059" s="9"/>
      <c r="C5059" s="8"/>
    </row>
    <row r="5060" spans="1:3" x14ac:dyDescent="0.25">
      <c r="A5060" s="8"/>
      <c r="B5060" s="9"/>
      <c r="C5060" s="8"/>
    </row>
    <row r="5061" spans="1:3" x14ac:dyDescent="0.25">
      <c r="A5061" s="8"/>
      <c r="B5061" s="9"/>
      <c r="C5061" s="8"/>
    </row>
    <row r="5062" spans="1:3" x14ac:dyDescent="0.25">
      <c r="A5062" s="8"/>
      <c r="B5062" s="9"/>
      <c r="C5062" s="8"/>
    </row>
    <row r="5063" spans="1:3" x14ac:dyDescent="0.25">
      <c r="A5063" s="8"/>
      <c r="B5063" s="9"/>
      <c r="C5063" s="8"/>
    </row>
    <row r="5064" spans="1:3" x14ac:dyDescent="0.25">
      <c r="A5064" s="8"/>
      <c r="B5064" s="9"/>
      <c r="C5064" s="8"/>
    </row>
    <row r="5065" spans="1:3" x14ac:dyDescent="0.25">
      <c r="A5065" s="8"/>
      <c r="B5065" s="9"/>
      <c r="C5065" s="8"/>
    </row>
    <row r="5066" spans="1:3" x14ac:dyDescent="0.25">
      <c r="A5066" s="8"/>
      <c r="B5066" s="9"/>
      <c r="C5066" s="8"/>
    </row>
    <row r="5067" spans="1:3" x14ac:dyDescent="0.25">
      <c r="A5067" s="8"/>
      <c r="B5067" s="9"/>
      <c r="C5067" s="8"/>
    </row>
    <row r="5068" spans="1:3" x14ac:dyDescent="0.25">
      <c r="A5068" s="8"/>
      <c r="B5068" s="9"/>
      <c r="C5068" s="8"/>
    </row>
    <row r="5069" spans="1:3" x14ac:dyDescent="0.25">
      <c r="A5069" s="8"/>
      <c r="B5069" s="9"/>
      <c r="C5069" s="8"/>
    </row>
    <row r="5070" spans="1:3" x14ac:dyDescent="0.25">
      <c r="A5070" s="8"/>
      <c r="B5070" s="9"/>
      <c r="C5070" s="8"/>
    </row>
    <row r="5071" spans="1:3" x14ac:dyDescent="0.25">
      <c r="A5071" s="8"/>
      <c r="B5071" s="9"/>
      <c r="C5071" s="8"/>
    </row>
    <row r="5072" spans="1:3" x14ac:dyDescent="0.25">
      <c r="A5072" s="8"/>
      <c r="B5072" s="9"/>
      <c r="C5072" s="8"/>
    </row>
    <row r="5073" spans="1:3" x14ac:dyDescent="0.25">
      <c r="A5073" s="8"/>
      <c r="B5073" s="9"/>
      <c r="C5073" s="8"/>
    </row>
    <row r="5074" spans="1:3" x14ac:dyDescent="0.25">
      <c r="A5074" s="8"/>
      <c r="B5074" s="9"/>
      <c r="C5074" s="8"/>
    </row>
    <row r="5075" spans="1:3" x14ac:dyDescent="0.25">
      <c r="A5075" s="8"/>
      <c r="B5075" s="9"/>
      <c r="C5075" s="8"/>
    </row>
    <row r="5076" spans="1:3" x14ac:dyDescent="0.25">
      <c r="A5076" s="8"/>
      <c r="B5076" s="9"/>
      <c r="C5076" s="8"/>
    </row>
    <row r="5077" spans="1:3" x14ac:dyDescent="0.25">
      <c r="A5077" s="8"/>
      <c r="B5077" s="9"/>
      <c r="C5077" s="8"/>
    </row>
    <row r="5078" spans="1:3" x14ac:dyDescent="0.25">
      <c r="A5078" s="8"/>
      <c r="B5078" s="9"/>
      <c r="C5078" s="8"/>
    </row>
    <row r="5079" spans="1:3" x14ac:dyDescent="0.25">
      <c r="A5079" s="8"/>
      <c r="B5079" s="9"/>
      <c r="C5079" s="8"/>
    </row>
    <row r="5080" spans="1:3" x14ac:dyDescent="0.25">
      <c r="A5080" s="8"/>
      <c r="B5080" s="9"/>
      <c r="C5080" s="8"/>
    </row>
    <row r="5081" spans="1:3" x14ac:dyDescent="0.25">
      <c r="A5081" s="8"/>
      <c r="B5081" s="9"/>
      <c r="C5081" s="8"/>
    </row>
    <row r="5082" spans="1:3" x14ac:dyDescent="0.25">
      <c r="A5082" s="8"/>
      <c r="B5082" s="9"/>
      <c r="C5082" s="8"/>
    </row>
    <row r="5083" spans="1:3" x14ac:dyDescent="0.25">
      <c r="A5083" s="8"/>
      <c r="B5083" s="9"/>
      <c r="C5083" s="8"/>
    </row>
    <row r="5084" spans="1:3" x14ac:dyDescent="0.25">
      <c r="A5084" s="8"/>
      <c r="B5084" s="9"/>
      <c r="C5084" s="8"/>
    </row>
    <row r="5085" spans="1:3" x14ac:dyDescent="0.25">
      <c r="A5085" s="8"/>
      <c r="B5085" s="9"/>
      <c r="C5085" s="8"/>
    </row>
    <row r="5086" spans="1:3" x14ac:dyDescent="0.25">
      <c r="A5086" s="8"/>
      <c r="B5086" s="9"/>
      <c r="C5086" s="8"/>
    </row>
    <row r="5087" spans="1:3" x14ac:dyDescent="0.25">
      <c r="A5087" s="8"/>
      <c r="B5087" s="9"/>
      <c r="C5087" s="8"/>
    </row>
    <row r="5088" spans="1:3" x14ac:dyDescent="0.25">
      <c r="A5088" s="8"/>
      <c r="B5088" s="9"/>
      <c r="C5088" s="8"/>
    </row>
    <row r="5089" spans="1:3" x14ac:dyDescent="0.25">
      <c r="A5089" s="8"/>
      <c r="B5089" s="9"/>
      <c r="C5089" s="8"/>
    </row>
    <row r="5090" spans="1:3" x14ac:dyDescent="0.25">
      <c r="A5090" s="8"/>
      <c r="B5090" s="9"/>
      <c r="C5090" s="8"/>
    </row>
    <row r="5091" spans="1:3" x14ac:dyDescent="0.25">
      <c r="A5091" s="8"/>
      <c r="B5091" s="9"/>
      <c r="C5091" s="8"/>
    </row>
    <row r="5092" spans="1:3" x14ac:dyDescent="0.25">
      <c r="A5092" s="8"/>
      <c r="B5092" s="9"/>
      <c r="C5092" s="8"/>
    </row>
    <row r="5093" spans="1:3" x14ac:dyDescent="0.25">
      <c r="A5093" s="8"/>
      <c r="B5093" s="9"/>
      <c r="C5093" s="8"/>
    </row>
    <row r="5094" spans="1:3" x14ac:dyDescent="0.25">
      <c r="A5094" s="8"/>
      <c r="B5094" s="9"/>
      <c r="C5094" s="8"/>
    </row>
    <row r="5095" spans="1:3" x14ac:dyDescent="0.25">
      <c r="A5095" s="8"/>
      <c r="B5095" s="9"/>
      <c r="C5095" s="8"/>
    </row>
    <row r="5096" spans="1:3" x14ac:dyDescent="0.25">
      <c r="A5096" s="8"/>
      <c r="B5096" s="9"/>
      <c r="C5096" s="8"/>
    </row>
    <row r="5097" spans="1:3" x14ac:dyDescent="0.25">
      <c r="A5097" s="8"/>
      <c r="B5097" s="9"/>
      <c r="C5097" s="8"/>
    </row>
    <row r="5098" spans="1:3" x14ac:dyDescent="0.25">
      <c r="A5098" s="8"/>
      <c r="B5098" s="9"/>
      <c r="C5098" s="8"/>
    </row>
    <row r="5099" spans="1:3" x14ac:dyDescent="0.25">
      <c r="A5099" s="8"/>
      <c r="B5099" s="9"/>
      <c r="C5099" s="8"/>
    </row>
    <row r="5100" spans="1:3" x14ac:dyDescent="0.25">
      <c r="A5100" s="8"/>
      <c r="B5100" s="9"/>
      <c r="C5100" s="8"/>
    </row>
    <row r="5101" spans="1:3" x14ac:dyDescent="0.25">
      <c r="A5101" s="8"/>
      <c r="B5101" s="9"/>
      <c r="C5101" s="8"/>
    </row>
    <row r="5102" spans="1:3" x14ac:dyDescent="0.25">
      <c r="A5102" s="8"/>
      <c r="B5102" s="9"/>
      <c r="C5102" s="8"/>
    </row>
    <row r="5103" spans="1:3" x14ac:dyDescent="0.25">
      <c r="A5103" s="8"/>
      <c r="B5103" s="9"/>
      <c r="C5103" s="8"/>
    </row>
    <row r="5104" spans="1:3" x14ac:dyDescent="0.25">
      <c r="A5104" s="8"/>
      <c r="B5104" s="9"/>
      <c r="C5104" s="8"/>
    </row>
    <row r="5105" spans="1:3" x14ac:dyDescent="0.25">
      <c r="A5105" s="8"/>
      <c r="B5105" s="9"/>
      <c r="C5105" s="8"/>
    </row>
    <row r="5106" spans="1:3" x14ac:dyDescent="0.25">
      <c r="A5106" s="8"/>
      <c r="B5106" s="9"/>
      <c r="C5106" s="8"/>
    </row>
    <row r="5107" spans="1:3" x14ac:dyDescent="0.25">
      <c r="A5107" s="8"/>
      <c r="B5107" s="9"/>
      <c r="C5107" s="8"/>
    </row>
    <row r="5108" spans="1:3" x14ac:dyDescent="0.25">
      <c r="A5108" s="8"/>
      <c r="B5108" s="9"/>
      <c r="C5108" s="8"/>
    </row>
    <row r="5109" spans="1:3" x14ac:dyDescent="0.25">
      <c r="A5109" s="8"/>
      <c r="B5109" s="9"/>
      <c r="C5109" s="8"/>
    </row>
    <row r="5110" spans="1:3" x14ac:dyDescent="0.25">
      <c r="A5110" s="8"/>
      <c r="B5110" s="9"/>
      <c r="C5110" s="8"/>
    </row>
    <row r="5111" spans="1:3" x14ac:dyDescent="0.25">
      <c r="A5111" s="8"/>
      <c r="B5111" s="9"/>
      <c r="C5111" s="8"/>
    </row>
    <row r="5112" spans="1:3" x14ac:dyDescent="0.25">
      <c r="A5112" s="8"/>
      <c r="B5112" s="9"/>
      <c r="C5112" s="8"/>
    </row>
    <row r="5113" spans="1:3" x14ac:dyDescent="0.25">
      <c r="A5113" s="8"/>
      <c r="B5113" s="9"/>
      <c r="C5113" s="8"/>
    </row>
    <row r="5114" spans="1:3" x14ac:dyDescent="0.25">
      <c r="A5114" s="8"/>
      <c r="B5114" s="9"/>
      <c r="C5114" s="8"/>
    </row>
    <row r="5115" spans="1:3" x14ac:dyDescent="0.25">
      <c r="A5115" s="8"/>
      <c r="B5115" s="9"/>
      <c r="C5115" s="8"/>
    </row>
    <row r="5116" spans="1:3" x14ac:dyDescent="0.25">
      <c r="A5116" s="8"/>
      <c r="B5116" s="9"/>
      <c r="C5116" s="8"/>
    </row>
    <row r="5117" spans="1:3" x14ac:dyDescent="0.25">
      <c r="A5117" s="8"/>
      <c r="B5117" s="9"/>
      <c r="C5117" s="8"/>
    </row>
    <row r="5118" spans="1:3" x14ac:dyDescent="0.25">
      <c r="A5118" s="8"/>
      <c r="B5118" s="9"/>
      <c r="C5118" s="8"/>
    </row>
    <row r="5119" spans="1:3" x14ac:dyDescent="0.25">
      <c r="A5119" s="8"/>
      <c r="B5119" s="9"/>
      <c r="C5119" s="8"/>
    </row>
    <row r="5120" spans="1:3" x14ac:dyDescent="0.25">
      <c r="A5120" s="8"/>
      <c r="B5120" s="9"/>
      <c r="C5120" s="8"/>
    </row>
    <row r="5121" spans="1:3" x14ac:dyDescent="0.25">
      <c r="A5121" s="8"/>
      <c r="B5121" s="9"/>
      <c r="C5121" s="8"/>
    </row>
    <row r="5122" spans="1:3" x14ac:dyDescent="0.25">
      <c r="A5122" s="8"/>
      <c r="B5122" s="9"/>
      <c r="C5122" s="8"/>
    </row>
    <row r="5123" spans="1:3" x14ac:dyDescent="0.25">
      <c r="A5123" s="8"/>
      <c r="B5123" s="9"/>
      <c r="C5123" s="8"/>
    </row>
    <row r="5124" spans="1:3" x14ac:dyDescent="0.25">
      <c r="A5124" s="8"/>
      <c r="B5124" s="9"/>
      <c r="C5124" s="8"/>
    </row>
    <row r="5125" spans="1:3" x14ac:dyDescent="0.25">
      <c r="A5125" s="8"/>
      <c r="B5125" s="9"/>
      <c r="C5125" s="8"/>
    </row>
    <row r="5126" spans="1:3" x14ac:dyDescent="0.25">
      <c r="A5126" s="8"/>
      <c r="B5126" s="9"/>
      <c r="C5126" s="8"/>
    </row>
    <row r="5127" spans="1:3" x14ac:dyDescent="0.25">
      <c r="A5127" s="8"/>
      <c r="B5127" s="9"/>
      <c r="C5127" s="8"/>
    </row>
    <row r="5128" spans="1:3" x14ac:dyDescent="0.25">
      <c r="A5128" s="8"/>
      <c r="B5128" s="9"/>
      <c r="C5128" s="8"/>
    </row>
    <row r="5129" spans="1:3" x14ac:dyDescent="0.25">
      <c r="A5129" s="8"/>
      <c r="B5129" s="9"/>
      <c r="C5129" s="8"/>
    </row>
    <row r="5130" spans="1:3" x14ac:dyDescent="0.25">
      <c r="A5130" s="8"/>
      <c r="B5130" s="9"/>
      <c r="C5130" s="8"/>
    </row>
    <row r="5131" spans="1:3" x14ac:dyDescent="0.25">
      <c r="A5131" s="8"/>
      <c r="B5131" s="9"/>
      <c r="C5131" s="8"/>
    </row>
    <row r="5132" spans="1:3" x14ac:dyDescent="0.25">
      <c r="A5132" s="8"/>
      <c r="B5132" s="9"/>
      <c r="C5132" s="8"/>
    </row>
    <row r="5133" spans="1:3" x14ac:dyDescent="0.25">
      <c r="A5133" s="8"/>
      <c r="B5133" s="9"/>
      <c r="C5133" s="8"/>
    </row>
    <row r="5134" spans="1:3" x14ac:dyDescent="0.25">
      <c r="A5134" s="8"/>
      <c r="B5134" s="9"/>
      <c r="C5134" s="8"/>
    </row>
    <row r="5135" spans="1:3" x14ac:dyDescent="0.25">
      <c r="A5135" s="8"/>
      <c r="B5135" s="9"/>
      <c r="C5135" s="8"/>
    </row>
    <row r="5136" spans="1:3" x14ac:dyDescent="0.25">
      <c r="A5136" s="8"/>
      <c r="B5136" s="9"/>
      <c r="C5136" s="8"/>
    </row>
    <row r="5137" spans="1:3" x14ac:dyDescent="0.25">
      <c r="A5137" s="8"/>
      <c r="B5137" s="9"/>
      <c r="C5137" s="8"/>
    </row>
    <row r="5138" spans="1:3" x14ac:dyDescent="0.25">
      <c r="A5138" s="8"/>
      <c r="B5138" s="9"/>
      <c r="C5138" s="8"/>
    </row>
    <row r="5139" spans="1:3" x14ac:dyDescent="0.25">
      <c r="A5139" s="8"/>
      <c r="B5139" s="9"/>
      <c r="C5139" s="8"/>
    </row>
    <row r="5140" spans="1:3" x14ac:dyDescent="0.25">
      <c r="A5140" s="8"/>
      <c r="B5140" s="9"/>
      <c r="C5140" s="8"/>
    </row>
    <row r="5141" spans="1:3" x14ac:dyDescent="0.25">
      <c r="A5141" s="8"/>
      <c r="B5141" s="9"/>
      <c r="C5141" s="8"/>
    </row>
    <row r="5142" spans="1:3" x14ac:dyDescent="0.25">
      <c r="A5142" s="8"/>
      <c r="B5142" s="9"/>
      <c r="C5142" s="8"/>
    </row>
    <row r="5143" spans="1:3" x14ac:dyDescent="0.25">
      <c r="A5143" s="8"/>
      <c r="B5143" s="9"/>
      <c r="C5143" s="8"/>
    </row>
    <row r="5144" spans="1:3" x14ac:dyDescent="0.25">
      <c r="A5144" s="8"/>
      <c r="B5144" s="9"/>
      <c r="C5144" s="8"/>
    </row>
    <row r="5145" spans="1:3" x14ac:dyDescent="0.25">
      <c r="A5145" s="8"/>
      <c r="B5145" s="9"/>
      <c r="C5145" s="8"/>
    </row>
    <row r="5146" spans="1:3" x14ac:dyDescent="0.25">
      <c r="A5146" s="8"/>
      <c r="B5146" s="9"/>
      <c r="C5146" s="8"/>
    </row>
    <row r="5147" spans="1:3" x14ac:dyDescent="0.25">
      <c r="A5147" s="8"/>
      <c r="B5147" s="9"/>
      <c r="C5147" s="8"/>
    </row>
    <row r="5148" spans="1:3" x14ac:dyDescent="0.25">
      <c r="A5148" s="8"/>
      <c r="B5148" s="9"/>
      <c r="C5148" s="8"/>
    </row>
    <row r="5149" spans="1:3" x14ac:dyDescent="0.25">
      <c r="A5149" s="8"/>
      <c r="B5149" s="9"/>
      <c r="C5149" s="8"/>
    </row>
    <row r="5150" spans="1:3" x14ac:dyDescent="0.25">
      <c r="A5150" s="8"/>
      <c r="B5150" s="9"/>
      <c r="C5150" s="8"/>
    </row>
    <row r="5151" spans="1:3" x14ac:dyDescent="0.25">
      <c r="A5151" s="8"/>
      <c r="B5151" s="9"/>
      <c r="C5151" s="8"/>
    </row>
    <row r="5152" spans="1:3" x14ac:dyDescent="0.25">
      <c r="A5152" s="8"/>
      <c r="B5152" s="9"/>
      <c r="C5152" s="8"/>
    </row>
    <row r="5153" spans="1:3" x14ac:dyDescent="0.25">
      <c r="A5153" s="8"/>
      <c r="B5153" s="9"/>
      <c r="C5153" s="8"/>
    </row>
    <row r="5154" spans="1:3" x14ac:dyDescent="0.25">
      <c r="A5154" s="8"/>
      <c r="B5154" s="9"/>
      <c r="C5154" s="8"/>
    </row>
    <row r="5155" spans="1:3" x14ac:dyDescent="0.25">
      <c r="A5155" s="8"/>
      <c r="B5155" s="9"/>
      <c r="C5155" s="8"/>
    </row>
    <row r="5156" spans="1:3" x14ac:dyDescent="0.25">
      <c r="A5156" s="8"/>
      <c r="B5156" s="9"/>
      <c r="C5156" s="8"/>
    </row>
    <row r="5157" spans="1:3" x14ac:dyDescent="0.25">
      <c r="A5157" s="8"/>
      <c r="B5157" s="9"/>
      <c r="C5157" s="8"/>
    </row>
    <row r="5158" spans="1:3" x14ac:dyDescent="0.25">
      <c r="A5158" s="8"/>
      <c r="B5158" s="9"/>
      <c r="C5158" s="8"/>
    </row>
    <row r="5159" spans="1:3" x14ac:dyDescent="0.25">
      <c r="A5159" s="8"/>
      <c r="B5159" s="9"/>
      <c r="C5159" s="8"/>
    </row>
    <row r="5160" spans="1:3" x14ac:dyDescent="0.25">
      <c r="A5160" s="8"/>
      <c r="B5160" s="9"/>
      <c r="C5160" s="8"/>
    </row>
    <row r="5161" spans="1:3" x14ac:dyDescent="0.25">
      <c r="A5161" s="8"/>
      <c r="B5161" s="9"/>
      <c r="C5161" s="8"/>
    </row>
    <row r="5162" spans="1:3" x14ac:dyDescent="0.25">
      <c r="A5162" s="8"/>
      <c r="B5162" s="9"/>
      <c r="C5162" s="8"/>
    </row>
    <row r="5163" spans="1:3" x14ac:dyDescent="0.25">
      <c r="A5163" s="8"/>
      <c r="B5163" s="9"/>
      <c r="C5163" s="8"/>
    </row>
    <row r="5164" spans="1:3" x14ac:dyDescent="0.25">
      <c r="A5164" s="8"/>
      <c r="B5164" s="9"/>
      <c r="C5164" s="8"/>
    </row>
    <row r="5165" spans="1:3" x14ac:dyDescent="0.25">
      <c r="A5165" s="8"/>
      <c r="B5165" s="9"/>
      <c r="C5165" s="8"/>
    </row>
    <row r="5166" spans="1:3" x14ac:dyDescent="0.25">
      <c r="A5166" s="8"/>
      <c r="B5166" s="9"/>
      <c r="C5166" s="8"/>
    </row>
    <row r="5167" spans="1:3" x14ac:dyDescent="0.25">
      <c r="A5167" s="8"/>
      <c r="B5167" s="9"/>
      <c r="C5167" s="8"/>
    </row>
    <row r="5168" spans="1:3" x14ac:dyDescent="0.25">
      <c r="A5168" s="8"/>
      <c r="B5168" s="9"/>
      <c r="C5168" s="8"/>
    </row>
    <row r="5169" spans="1:3" x14ac:dyDescent="0.25">
      <c r="A5169" s="8"/>
      <c r="B5169" s="9"/>
      <c r="C5169" s="8"/>
    </row>
    <row r="5170" spans="1:3" x14ac:dyDescent="0.25">
      <c r="A5170" s="8"/>
      <c r="B5170" s="9"/>
      <c r="C5170" s="8"/>
    </row>
    <row r="5171" spans="1:3" x14ac:dyDescent="0.25">
      <c r="A5171" s="8"/>
      <c r="B5171" s="9"/>
      <c r="C5171" s="8"/>
    </row>
    <row r="5172" spans="1:3" x14ac:dyDescent="0.25">
      <c r="A5172" s="8"/>
      <c r="B5172" s="9"/>
      <c r="C5172" s="8"/>
    </row>
    <row r="5173" spans="1:3" x14ac:dyDescent="0.25">
      <c r="A5173" s="8"/>
      <c r="B5173" s="9"/>
      <c r="C5173" s="8"/>
    </row>
    <row r="5174" spans="1:3" x14ac:dyDescent="0.25">
      <c r="A5174" s="8"/>
      <c r="B5174" s="9"/>
      <c r="C5174" s="8"/>
    </row>
    <row r="5175" spans="1:3" x14ac:dyDescent="0.25">
      <c r="A5175" s="8"/>
      <c r="B5175" s="9"/>
      <c r="C5175" s="8"/>
    </row>
    <row r="5176" spans="1:3" x14ac:dyDescent="0.25">
      <c r="A5176" s="8"/>
      <c r="B5176" s="9"/>
      <c r="C5176" s="8"/>
    </row>
    <row r="5177" spans="1:3" x14ac:dyDescent="0.25">
      <c r="A5177" s="8"/>
      <c r="B5177" s="9"/>
      <c r="C5177" s="8"/>
    </row>
    <row r="5178" spans="1:3" x14ac:dyDescent="0.25">
      <c r="A5178" s="8"/>
      <c r="B5178" s="9"/>
      <c r="C5178" s="8"/>
    </row>
    <row r="5179" spans="1:3" x14ac:dyDescent="0.25">
      <c r="A5179" s="8"/>
      <c r="B5179" s="9"/>
      <c r="C5179" s="8"/>
    </row>
    <row r="5180" spans="1:3" x14ac:dyDescent="0.25">
      <c r="A5180" s="8"/>
      <c r="B5180" s="9"/>
      <c r="C5180" s="8"/>
    </row>
    <row r="5181" spans="1:3" x14ac:dyDescent="0.25">
      <c r="A5181" s="8"/>
      <c r="B5181" s="9"/>
      <c r="C5181" s="8"/>
    </row>
    <row r="5182" spans="1:3" x14ac:dyDescent="0.25">
      <c r="A5182" s="8"/>
      <c r="B5182" s="9"/>
      <c r="C5182" s="8"/>
    </row>
    <row r="5183" spans="1:3" x14ac:dyDescent="0.25">
      <c r="A5183" s="8"/>
      <c r="B5183" s="9"/>
      <c r="C5183" s="8"/>
    </row>
    <row r="5184" spans="1:3" x14ac:dyDescent="0.25">
      <c r="A5184" s="8"/>
      <c r="B5184" s="9"/>
      <c r="C5184" s="8"/>
    </row>
    <row r="5185" spans="1:3" x14ac:dyDescent="0.25">
      <c r="A5185" s="8"/>
      <c r="B5185" s="9"/>
      <c r="C5185" s="8"/>
    </row>
    <row r="5186" spans="1:3" x14ac:dyDescent="0.25">
      <c r="A5186" s="8"/>
      <c r="B5186" s="9"/>
      <c r="C5186" s="8"/>
    </row>
    <row r="5187" spans="1:3" x14ac:dyDescent="0.25">
      <c r="A5187" s="8"/>
      <c r="B5187" s="9"/>
      <c r="C5187" s="8"/>
    </row>
    <row r="5188" spans="1:3" x14ac:dyDescent="0.25">
      <c r="A5188" s="8"/>
      <c r="B5188" s="9"/>
      <c r="C5188" s="8"/>
    </row>
    <row r="5189" spans="1:3" x14ac:dyDescent="0.25">
      <c r="A5189" s="8"/>
      <c r="B5189" s="9"/>
      <c r="C5189" s="8"/>
    </row>
    <row r="5190" spans="1:3" x14ac:dyDescent="0.25">
      <c r="A5190" s="8"/>
      <c r="B5190" s="9"/>
      <c r="C5190" s="8"/>
    </row>
    <row r="5191" spans="1:3" x14ac:dyDescent="0.25">
      <c r="A5191" s="8"/>
      <c r="B5191" s="9"/>
      <c r="C5191" s="8"/>
    </row>
    <row r="5192" spans="1:3" x14ac:dyDescent="0.25">
      <c r="A5192" s="8"/>
      <c r="B5192" s="9"/>
      <c r="C5192" s="8"/>
    </row>
    <row r="5193" spans="1:3" x14ac:dyDescent="0.25">
      <c r="A5193" s="8"/>
      <c r="B5193" s="9"/>
      <c r="C5193" s="8"/>
    </row>
    <row r="5194" spans="1:3" x14ac:dyDescent="0.25">
      <c r="A5194" s="8"/>
      <c r="B5194" s="9"/>
      <c r="C5194" s="8"/>
    </row>
    <row r="5195" spans="1:3" x14ac:dyDescent="0.25">
      <c r="A5195" s="8"/>
      <c r="B5195" s="9"/>
      <c r="C5195" s="8"/>
    </row>
    <row r="5196" spans="1:3" x14ac:dyDescent="0.25">
      <c r="A5196" s="8"/>
      <c r="B5196" s="9"/>
      <c r="C5196" s="8"/>
    </row>
    <row r="5197" spans="1:3" x14ac:dyDescent="0.25">
      <c r="A5197" s="8"/>
      <c r="B5197" s="9"/>
      <c r="C5197" s="8"/>
    </row>
    <row r="5198" spans="1:3" x14ac:dyDescent="0.25">
      <c r="A5198" s="8"/>
      <c r="B5198" s="9"/>
      <c r="C5198" s="8"/>
    </row>
    <row r="5199" spans="1:3" x14ac:dyDescent="0.25">
      <c r="A5199" s="8"/>
      <c r="B5199" s="9"/>
      <c r="C5199" s="8"/>
    </row>
    <row r="5200" spans="1:3" x14ac:dyDescent="0.25">
      <c r="A5200" s="8"/>
      <c r="B5200" s="9"/>
      <c r="C5200" s="8"/>
    </row>
    <row r="5201" spans="1:3" x14ac:dyDescent="0.25">
      <c r="A5201" s="8"/>
      <c r="B5201" s="9"/>
      <c r="C5201" s="8"/>
    </row>
    <row r="5202" spans="1:3" x14ac:dyDescent="0.25">
      <c r="A5202" s="8"/>
      <c r="B5202" s="9"/>
      <c r="C5202" s="8"/>
    </row>
    <row r="5203" spans="1:3" x14ac:dyDescent="0.25">
      <c r="A5203" s="8"/>
      <c r="B5203" s="9"/>
      <c r="C5203" s="8"/>
    </row>
    <row r="5204" spans="1:3" x14ac:dyDescent="0.25">
      <c r="A5204" s="8"/>
      <c r="B5204" s="9"/>
      <c r="C5204" s="8"/>
    </row>
    <row r="5205" spans="1:3" x14ac:dyDescent="0.25">
      <c r="A5205" s="8"/>
      <c r="B5205" s="9"/>
      <c r="C5205" s="8"/>
    </row>
    <row r="5206" spans="1:3" x14ac:dyDescent="0.25">
      <c r="A5206" s="8"/>
      <c r="B5206" s="9"/>
      <c r="C5206" s="8"/>
    </row>
    <row r="5207" spans="1:3" x14ac:dyDescent="0.25">
      <c r="A5207" s="8"/>
      <c r="B5207" s="9"/>
      <c r="C5207" s="8"/>
    </row>
    <row r="5208" spans="1:3" x14ac:dyDescent="0.25">
      <c r="A5208" s="8"/>
      <c r="B5208" s="9"/>
      <c r="C5208" s="8"/>
    </row>
    <row r="5209" spans="1:3" x14ac:dyDescent="0.25">
      <c r="A5209" s="8"/>
      <c r="B5209" s="9"/>
      <c r="C5209" s="8"/>
    </row>
    <row r="5210" spans="1:3" x14ac:dyDescent="0.25">
      <c r="A5210" s="8"/>
      <c r="B5210" s="9"/>
      <c r="C5210" s="8"/>
    </row>
    <row r="5211" spans="1:3" x14ac:dyDescent="0.25">
      <c r="A5211" s="8"/>
      <c r="B5211" s="9"/>
      <c r="C5211" s="8"/>
    </row>
    <row r="5212" spans="1:3" x14ac:dyDescent="0.25">
      <c r="A5212" s="8"/>
      <c r="B5212" s="9"/>
      <c r="C5212" s="8"/>
    </row>
    <row r="5213" spans="1:3" x14ac:dyDescent="0.25">
      <c r="A5213" s="8"/>
      <c r="B5213" s="9"/>
      <c r="C5213" s="8"/>
    </row>
    <row r="5214" spans="1:3" x14ac:dyDescent="0.25">
      <c r="A5214" s="8"/>
      <c r="B5214" s="9"/>
      <c r="C5214" s="8"/>
    </row>
    <row r="5215" spans="1:3" x14ac:dyDescent="0.25">
      <c r="A5215" s="8"/>
      <c r="B5215" s="9"/>
      <c r="C5215" s="8"/>
    </row>
    <row r="5216" spans="1:3" x14ac:dyDescent="0.25">
      <c r="A5216" s="8"/>
      <c r="B5216" s="9"/>
      <c r="C5216" s="8"/>
    </row>
    <row r="5217" spans="1:3" x14ac:dyDescent="0.25">
      <c r="A5217" s="8"/>
      <c r="B5217" s="9"/>
      <c r="C5217" s="8"/>
    </row>
    <row r="5218" spans="1:3" x14ac:dyDescent="0.25">
      <c r="A5218" s="8"/>
      <c r="B5218" s="9"/>
      <c r="C5218" s="8"/>
    </row>
    <row r="5219" spans="1:3" x14ac:dyDescent="0.25">
      <c r="A5219" s="8"/>
      <c r="B5219" s="9"/>
      <c r="C5219" s="8"/>
    </row>
    <row r="5220" spans="1:3" x14ac:dyDescent="0.25">
      <c r="A5220" s="8"/>
      <c r="B5220" s="9"/>
      <c r="C5220" s="8"/>
    </row>
    <row r="5221" spans="1:3" x14ac:dyDescent="0.25">
      <c r="A5221" s="8"/>
      <c r="B5221" s="9"/>
      <c r="C5221" s="8"/>
    </row>
    <row r="5222" spans="1:3" x14ac:dyDescent="0.25">
      <c r="A5222" s="8"/>
      <c r="B5222" s="9"/>
      <c r="C5222" s="8"/>
    </row>
    <row r="5223" spans="1:3" x14ac:dyDescent="0.25">
      <c r="A5223" s="8"/>
      <c r="B5223" s="9"/>
      <c r="C5223" s="8"/>
    </row>
    <row r="5224" spans="1:3" x14ac:dyDescent="0.25">
      <c r="A5224" s="8"/>
      <c r="B5224" s="9"/>
      <c r="C5224" s="8"/>
    </row>
    <row r="5225" spans="1:3" x14ac:dyDescent="0.25">
      <c r="A5225" s="8"/>
      <c r="B5225" s="9"/>
      <c r="C5225" s="8"/>
    </row>
    <row r="5226" spans="1:3" x14ac:dyDescent="0.25">
      <c r="A5226" s="8"/>
      <c r="B5226" s="9"/>
      <c r="C5226" s="8"/>
    </row>
    <row r="5227" spans="1:3" x14ac:dyDescent="0.25">
      <c r="A5227" s="8"/>
      <c r="B5227" s="9"/>
      <c r="C5227" s="8"/>
    </row>
    <row r="5228" spans="1:3" x14ac:dyDescent="0.25">
      <c r="A5228" s="8"/>
      <c r="B5228" s="9"/>
      <c r="C5228" s="8"/>
    </row>
    <row r="5229" spans="1:3" x14ac:dyDescent="0.25">
      <c r="A5229" s="8"/>
      <c r="B5229" s="9"/>
      <c r="C5229" s="8"/>
    </row>
    <row r="5230" spans="1:3" x14ac:dyDescent="0.25">
      <c r="A5230" s="8"/>
      <c r="B5230" s="9"/>
      <c r="C5230" s="8"/>
    </row>
    <row r="5231" spans="1:3" x14ac:dyDescent="0.25">
      <c r="A5231" s="8"/>
      <c r="B5231" s="9"/>
      <c r="C5231" s="8"/>
    </row>
    <row r="5232" spans="1:3" x14ac:dyDescent="0.25">
      <c r="A5232" s="8"/>
      <c r="B5232" s="9"/>
      <c r="C5232" s="8"/>
    </row>
    <row r="5233" spans="1:3" x14ac:dyDescent="0.25">
      <c r="A5233" s="8"/>
      <c r="B5233" s="9"/>
      <c r="C5233" s="8"/>
    </row>
    <row r="5234" spans="1:3" x14ac:dyDescent="0.25">
      <c r="A5234" s="8"/>
      <c r="B5234" s="9"/>
      <c r="C5234" s="8"/>
    </row>
    <row r="5235" spans="1:3" x14ac:dyDescent="0.25">
      <c r="A5235" s="8"/>
      <c r="B5235" s="9"/>
      <c r="C5235" s="8"/>
    </row>
    <row r="5236" spans="1:3" x14ac:dyDescent="0.25">
      <c r="A5236" s="8"/>
      <c r="B5236" s="9"/>
      <c r="C5236" s="8"/>
    </row>
    <row r="5237" spans="1:3" x14ac:dyDescent="0.25">
      <c r="A5237" s="8"/>
      <c r="B5237" s="9"/>
      <c r="C5237" s="8"/>
    </row>
    <row r="5238" spans="1:3" x14ac:dyDescent="0.25">
      <c r="A5238" s="8"/>
      <c r="B5238" s="9"/>
      <c r="C5238" s="8"/>
    </row>
    <row r="5239" spans="1:3" x14ac:dyDescent="0.25">
      <c r="A5239" s="8"/>
      <c r="B5239" s="9"/>
      <c r="C5239" s="8"/>
    </row>
    <row r="5240" spans="1:3" x14ac:dyDescent="0.25">
      <c r="A5240" s="8"/>
      <c r="B5240" s="9"/>
      <c r="C5240" s="8"/>
    </row>
    <row r="5241" spans="1:3" x14ac:dyDescent="0.25">
      <c r="A5241" s="8"/>
      <c r="B5241" s="9"/>
      <c r="C5241" s="8"/>
    </row>
    <row r="5242" spans="1:3" x14ac:dyDescent="0.25">
      <c r="A5242" s="8"/>
      <c r="B5242" s="9"/>
      <c r="C5242" s="8"/>
    </row>
    <row r="5243" spans="1:3" x14ac:dyDescent="0.25">
      <c r="A5243" s="8"/>
      <c r="B5243" s="9"/>
      <c r="C5243" s="8"/>
    </row>
    <row r="5244" spans="1:3" x14ac:dyDescent="0.25">
      <c r="A5244" s="8"/>
      <c r="B5244" s="9"/>
      <c r="C5244" s="8"/>
    </row>
    <row r="5245" spans="1:3" x14ac:dyDescent="0.25">
      <c r="A5245" s="8"/>
      <c r="B5245" s="9"/>
      <c r="C5245" s="8"/>
    </row>
    <row r="5246" spans="1:3" x14ac:dyDescent="0.25">
      <c r="A5246" s="8"/>
      <c r="B5246" s="9"/>
      <c r="C5246" s="8"/>
    </row>
    <row r="5247" spans="1:3" x14ac:dyDescent="0.25">
      <c r="A5247" s="8"/>
      <c r="B5247" s="9"/>
      <c r="C5247" s="8"/>
    </row>
    <row r="5248" spans="1:3" x14ac:dyDescent="0.25">
      <c r="A5248" s="8"/>
      <c r="B5248" s="9"/>
      <c r="C5248" s="8"/>
    </row>
    <row r="5249" spans="1:3" x14ac:dyDescent="0.25">
      <c r="A5249" s="8"/>
      <c r="B5249" s="9"/>
      <c r="C5249" s="8"/>
    </row>
    <row r="5250" spans="1:3" x14ac:dyDescent="0.25">
      <c r="A5250" s="8"/>
      <c r="B5250" s="9"/>
      <c r="C5250" s="8"/>
    </row>
    <row r="5251" spans="1:3" x14ac:dyDescent="0.25">
      <c r="A5251" s="8"/>
      <c r="B5251" s="9"/>
      <c r="C5251" s="8"/>
    </row>
    <row r="5252" spans="1:3" x14ac:dyDescent="0.25">
      <c r="A5252" s="8"/>
      <c r="B5252" s="9"/>
      <c r="C5252" s="8"/>
    </row>
    <row r="5253" spans="1:3" x14ac:dyDescent="0.25">
      <c r="A5253" s="8"/>
      <c r="B5253" s="9"/>
      <c r="C5253" s="8"/>
    </row>
    <row r="5254" spans="1:3" x14ac:dyDescent="0.25">
      <c r="A5254" s="8"/>
      <c r="B5254" s="9"/>
      <c r="C5254" s="8"/>
    </row>
    <row r="5255" spans="1:3" x14ac:dyDescent="0.25">
      <c r="A5255" s="8"/>
      <c r="B5255" s="9"/>
      <c r="C5255" s="8"/>
    </row>
    <row r="5256" spans="1:3" x14ac:dyDescent="0.25">
      <c r="A5256" s="8"/>
      <c r="B5256" s="9"/>
      <c r="C5256" s="8"/>
    </row>
    <row r="5257" spans="1:3" x14ac:dyDescent="0.25">
      <c r="A5257" s="8"/>
      <c r="B5257" s="9"/>
      <c r="C5257" s="8"/>
    </row>
    <row r="5258" spans="1:3" x14ac:dyDescent="0.25">
      <c r="A5258" s="8"/>
      <c r="B5258" s="9"/>
      <c r="C5258" s="8"/>
    </row>
    <row r="5259" spans="1:3" x14ac:dyDescent="0.25">
      <c r="A5259" s="8"/>
      <c r="B5259" s="9"/>
      <c r="C5259" s="8"/>
    </row>
    <row r="5260" spans="1:3" x14ac:dyDescent="0.25">
      <c r="A5260" s="8"/>
      <c r="B5260" s="9"/>
      <c r="C5260" s="8"/>
    </row>
    <row r="5261" spans="1:3" x14ac:dyDescent="0.25">
      <c r="A5261" s="8"/>
      <c r="B5261" s="9"/>
      <c r="C5261" s="8"/>
    </row>
    <row r="5262" spans="1:3" x14ac:dyDescent="0.25">
      <c r="A5262" s="8"/>
      <c r="B5262" s="9"/>
      <c r="C5262" s="8"/>
    </row>
    <row r="5263" spans="1:3" x14ac:dyDescent="0.25">
      <c r="A5263" s="8"/>
      <c r="B5263" s="9"/>
      <c r="C5263" s="8"/>
    </row>
    <row r="5264" spans="1:3" x14ac:dyDescent="0.25">
      <c r="A5264" s="8"/>
      <c r="B5264" s="9"/>
      <c r="C5264" s="8"/>
    </row>
    <row r="5265" spans="1:3" x14ac:dyDescent="0.25">
      <c r="A5265" s="8"/>
      <c r="B5265" s="9"/>
      <c r="C5265" s="8"/>
    </row>
    <row r="5266" spans="1:3" x14ac:dyDescent="0.25">
      <c r="A5266" s="8"/>
      <c r="B5266" s="9"/>
      <c r="C5266" s="8"/>
    </row>
    <row r="5267" spans="1:3" x14ac:dyDescent="0.25">
      <c r="A5267" s="8"/>
      <c r="B5267" s="9"/>
      <c r="C5267" s="8"/>
    </row>
    <row r="5268" spans="1:3" x14ac:dyDescent="0.25">
      <c r="A5268" s="8"/>
      <c r="B5268" s="9"/>
      <c r="C5268" s="8"/>
    </row>
    <row r="5269" spans="1:3" x14ac:dyDescent="0.25">
      <c r="A5269" s="8"/>
      <c r="B5269" s="9"/>
      <c r="C5269" s="8"/>
    </row>
    <row r="5270" spans="1:3" x14ac:dyDescent="0.25">
      <c r="A5270" s="8"/>
      <c r="B5270" s="9"/>
      <c r="C5270" s="8"/>
    </row>
    <row r="5271" spans="1:3" x14ac:dyDescent="0.25">
      <c r="A5271" s="8"/>
      <c r="B5271" s="9"/>
      <c r="C5271" s="8"/>
    </row>
    <row r="5272" spans="1:3" x14ac:dyDescent="0.25">
      <c r="A5272" s="8"/>
      <c r="B5272" s="9"/>
      <c r="C5272" s="8"/>
    </row>
    <row r="5273" spans="1:3" x14ac:dyDescent="0.25">
      <c r="A5273" s="8"/>
      <c r="B5273" s="9"/>
      <c r="C5273" s="8"/>
    </row>
    <row r="5274" spans="1:3" x14ac:dyDescent="0.25">
      <c r="A5274" s="8"/>
      <c r="B5274" s="9"/>
      <c r="C5274" s="8"/>
    </row>
    <row r="5275" spans="1:3" x14ac:dyDescent="0.25">
      <c r="A5275" s="8"/>
      <c r="B5275" s="9"/>
      <c r="C5275" s="8"/>
    </row>
    <row r="5276" spans="1:3" x14ac:dyDescent="0.25">
      <c r="A5276" s="8"/>
      <c r="B5276" s="9"/>
      <c r="C5276" s="8"/>
    </row>
    <row r="5277" spans="1:3" x14ac:dyDescent="0.25">
      <c r="A5277" s="8"/>
      <c r="B5277" s="9"/>
      <c r="C5277" s="8"/>
    </row>
    <row r="5278" spans="1:3" x14ac:dyDescent="0.25">
      <c r="A5278" s="8"/>
      <c r="B5278" s="9"/>
      <c r="C5278" s="8"/>
    </row>
    <row r="5279" spans="1:3" x14ac:dyDescent="0.25">
      <c r="A5279" s="8"/>
      <c r="B5279" s="9"/>
      <c r="C5279" s="8"/>
    </row>
    <row r="5280" spans="1:3" x14ac:dyDescent="0.25">
      <c r="A5280" s="8"/>
      <c r="B5280" s="9"/>
      <c r="C5280" s="8"/>
    </row>
    <row r="5281" spans="1:3" x14ac:dyDescent="0.25">
      <c r="A5281" s="8"/>
      <c r="B5281" s="9"/>
      <c r="C5281" s="8"/>
    </row>
    <row r="5282" spans="1:3" x14ac:dyDescent="0.25">
      <c r="A5282" s="8"/>
      <c r="B5282" s="9"/>
      <c r="C5282" s="8"/>
    </row>
    <row r="5283" spans="1:3" x14ac:dyDescent="0.25">
      <c r="A5283" s="8"/>
      <c r="B5283" s="9"/>
      <c r="C5283" s="8"/>
    </row>
    <row r="5284" spans="1:3" x14ac:dyDescent="0.25">
      <c r="A5284" s="8"/>
      <c r="B5284" s="9"/>
      <c r="C5284" s="8"/>
    </row>
    <row r="5285" spans="1:3" x14ac:dyDescent="0.25">
      <c r="A5285" s="8"/>
      <c r="B5285" s="9"/>
      <c r="C5285" s="8"/>
    </row>
    <row r="5286" spans="1:3" x14ac:dyDescent="0.25">
      <c r="A5286" s="8"/>
      <c r="B5286" s="9"/>
      <c r="C5286" s="8"/>
    </row>
    <row r="5287" spans="1:3" x14ac:dyDescent="0.25">
      <c r="A5287" s="8"/>
      <c r="B5287" s="9"/>
      <c r="C5287" s="8"/>
    </row>
    <row r="5288" spans="1:3" x14ac:dyDescent="0.25">
      <c r="A5288" s="8"/>
      <c r="B5288" s="9"/>
      <c r="C5288" s="8"/>
    </row>
    <row r="5289" spans="1:3" x14ac:dyDescent="0.25">
      <c r="A5289" s="8"/>
      <c r="B5289" s="9"/>
      <c r="C5289" s="8"/>
    </row>
    <row r="5290" spans="1:3" x14ac:dyDescent="0.25">
      <c r="A5290" s="8"/>
      <c r="B5290" s="9"/>
      <c r="C5290" s="8"/>
    </row>
    <row r="5291" spans="1:3" x14ac:dyDescent="0.25">
      <c r="A5291" s="8"/>
      <c r="B5291" s="9"/>
      <c r="C5291" s="8"/>
    </row>
    <row r="5292" spans="1:3" x14ac:dyDescent="0.25">
      <c r="A5292" s="8"/>
      <c r="B5292" s="9"/>
      <c r="C5292" s="8"/>
    </row>
    <row r="5293" spans="1:3" x14ac:dyDescent="0.25">
      <c r="A5293" s="8"/>
      <c r="B5293" s="9"/>
      <c r="C5293" s="8"/>
    </row>
    <row r="5294" spans="1:3" x14ac:dyDescent="0.25">
      <c r="A5294" s="8"/>
      <c r="B5294" s="9"/>
      <c r="C5294" s="8"/>
    </row>
    <row r="5295" spans="1:3" x14ac:dyDescent="0.25">
      <c r="A5295" s="8"/>
      <c r="B5295" s="9"/>
      <c r="C5295" s="8"/>
    </row>
    <row r="5296" spans="1:3" x14ac:dyDescent="0.25">
      <c r="A5296" s="8"/>
      <c r="B5296" s="9"/>
      <c r="C5296" s="8"/>
    </row>
    <row r="5297" spans="1:3" x14ac:dyDescent="0.25">
      <c r="A5297" s="8"/>
      <c r="B5297" s="9"/>
      <c r="C5297" s="8"/>
    </row>
    <row r="5298" spans="1:3" x14ac:dyDescent="0.25">
      <c r="A5298" s="8"/>
      <c r="B5298" s="9"/>
      <c r="C5298" s="8"/>
    </row>
    <row r="5299" spans="1:3" x14ac:dyDescent="0.25">
      <c r="A5299" s="8"/>
      <c r="B5299" s="9"/>
      <c r="C5299" s="8"/>
    </row>
    <row r="5300" spans="1:3" x14ac:dyDescent="0.25">
      <c r="A5300" s="8"/>
      <c r="B5300" s="9"/>
      <c r="C5300" s="8"/>
    </row>
    <row r="5301" spans="1:3" x14ac:dyDescent="0.25">
      <c r="A5301" s="8"/>
      <c r="B5301" s="9"/>
      <c r="C5301" s="8"/>
    </row>
    <row r="5302" spans="1:3" x14ac:dyDescent="0.25">
      <c r="A5302" s="8"/>
      <c r="B5302" s="9"/>
      <c r="C5302" s="8"/>
    </row>
    <row r="5303" spans="1:3" x14ac:dyDescent="0.25">
      <c r="A5303" s="8"/>
      <c r="B5303" s="9"/>
      <c r="C5303" s="8"/>
    </row>
    <row r="5304" spans="1:3" x14ac:dyDescent="0.25">
      <c r="A5304" s="8"/>
      <c r="B5304" s="9"/>
      <c r="C5304" s="8"/>
    </row>
    <row r="5305" spans="1:3" x14ac:dyDescent="0.25">
      <c r="A5305" s="8"/>
      <c r="B5305" s="9"/>
      <c r="C5305" s="8"/>
    </row>
    <row r="5306" spans="1:3" x14ac:dyDescent="0.25">
      <c r="A5306" s="8"/>
      <c r="B5306" s="9"/>
      <c r="C5306" s="8"/>
    </row>
    <row r="5307" spans="1:3" x14ac:dyDescent="0.25">
      <c r="A5307" s="8"/>
      <c r="B5307" s="9"/>
      <c r="C5307" s="8"/>
    </row>
    <row r="5308" spans="1:3" x14ac:dyDescent="0.25">
      <c r="A5308" s="8"/>
      <c r="B5308" s="9"/>
      <c r="C5308" s="8"/>
    </row>
    <row r="5309" spans="1:3" x14ac:dyDescent="0.25">
      <c r="A5309" s="8"/>
      <c r="B5309" s="9"/>
      <c r="C5309" s="8"/>
    </row>
    <row r="5310" spans="1:3" x14ac:dyDescent="0.25">
      <c r="A5310" s="8"/>
      <c r="B5310" s="9"/>
      <c r="C5310" s="8"/>
    </row>
    <row r="5311" spans="1:3" x14ac:dyDescent="0.25">
      <c r="A5311" s="8"/>
      <c r="B5311" s="9"/>
      <c r="C5311" s="8"/>
    </row>
    <row r="5312" spans="1:3" x14ac:dyDescent="0.25">
      <c r="A5312" s="8"/>
      <c r="B5312" s="9"/>
      <c r="C5312" s="8"/>
    </row>
    <row r="5313" spans="1:3" x14ac:dyDescent="0.25">
      <c r="A5313" s="8"/>
      <c r="B5313" s="9"/>
      <c r="C5313" s="8"/>
    </row>
    <row r="5314" spans="1:3" x14ac:dyDescent="0.25">
      <c r="A5314" s="8"/>
      <c r="B5314" s="9"/>
      <c r="C5314" s="8"/>
    </row>
    <row r="5315" spans="1:3" x14ac:dyDescent="0.25">
      <c r="A5315" s="8"/>
      <c r="B5315" s="9"/>
      <c r="C5315" s="8"/>
    </row>
    <row r="5316" spans="1:3" x14ac:dyDescent="0.25">
      <c r="A5316" s="8"/>
      <c r="B5316" s="9"/>
      <c r="C5316" s="8"/>
    </row>
    <row r="5317" spans="1:3" x14ac:dyDescent="0.25">
      <c r="A5317" s="8"/>
      <c r="B5317" s="9"/>
      <c r="C5317" s="8"/>
    </row>
    <row r="5318" spans="1:3" x14ac:dyDescent="0.25">
      <c r="A5318" s="8"/>
      <c r="B5318" s="9"/>
      <c r="C5318" s="8"/>
    </row>
    <row r="5319" spans="1:3" x14ac:dyDescent="0.25">
      <c r="A5319" s="8"/>
      <c r="B5319" s="9"/>
      <c r="C5319" s="8"/>
    </row>
    <row r="5320" spans="1:3" x14ac:dyDescent="0.25">
      <c r="A5320" s="8"/>
      <c r="B5320" s="9"/>
      <c r="C5320" s="8"/>
    </row>
    <row r="5321" spans="1:3" x14ac:dyDescent="0.25">
      <c r="A5321" s="8"/>
      <c r="B5321" s="9"/>
      <c r="C5321" s="8"/>
    </row>
    <row r="5322" spans="1:3" x14ac:dyDescent="0.25">
      <c r="A5322" s="8"/>
      <c r="B5322" s="9"/>
      <c r="C5322" s="8"/>
    </row>
    <row r="5323" spans="1:3" x14ac:dyDescent="0.25">
      <c r="A5323" s="8"/>
      <c r="B5323" s="9"/>
      <c r="C5323" s="8"/>
    </row>
    <row r="5324" spans="1:3" x14ac:dyDescent="0.25">
      <c r="A5324" s="8"/>
      <c r="B5324" s="9"/>
      <c r="C5324" s="8"/>
    </row>
    <row r="5325" spans="1:3" x14ac:dyDescent="0.25">
      <c r="A5325" s="8"/>
      <c r="B5325" s="9"/>
      <c r="C5325" s="8"/>
    </row>
    <row r="5326" spans="1:3" x14ac:dyDescent="0.25">
      <c r="A5326" s="8"/>
      <c r="B5326" s="9"/>
      <c r="C5326" s="8"/>
    </row>
    <row r="5327" spans="1:3" x14ac:dyDescent="0.25">
      <c r="A5327" s="8"/>
      <c r="B5327" s="9"/>
      <c r="C5327" s="8"/>
    </row>
    <row r="5328" spans="1:3" x14ac:dyDescent="0.25">
      <c r="A5328" s="8"/>
      <c r="B5328" s="9"/>
      <c r="C5328" s="8"/>
    </row>
    <row r="5329" spans="1:3" x14ac:dyDescent="0.25">
      <c r="A5329" s="8"/>
      <c r="B5329" s="9"/>
      <c r="C5329" s="8"/>
    </row>
    <row r="5330" spans="1:3" x14ac:dyDescent="0.25">
      <c r="A5330" s="8"/>
      <c r="B5330" s="9"/>
      <c r="C5330" s="8"/>
    </row>
    <row r="5331" spans="1:3" x14ac:dyDescent="0.25">
      <c r="A5331" s="8"/>
      <c r="B5331" s="9"/>
      <c r="C5331" s="8"/>
    </row>
    <row r="5332" spans="1:3" x14ac:dyDescent="0.25">
      <c r="A5332" s="8"/>
      <c r="B5332" s="9"/>
      <c r="C5332" s="8"/>
    </row>
    <row r="5333" spans="1:3" x14ac:dyDescent="0.25">
      <c r="A5333" s="8"/>
      <c r="B5333" s="9"/>
      <c r="C5333" s="8"/>
    </row>
    <row r="5334" spans="1:3" x14ac:dyDescent="0.25">
      <c r="A5334" s="8"/>
      <c r="B5334" s="9"/>
      <c r="C5334" s="8"/>
    </row>
    <row r="5335" spans="1:3" x14ac:dyDescent="0.25">
      <c r="A5335" s="8"/>
      <c r="B5335" s="9"/>
      <c r="C5335" s="8"/>
    </row>
    <row r="5336" spans="1:3" x14ac:dyDescent="0.25">
      <c r="A5336" s="8"/>
      <c r="B5336" s="9"/>
      <c r="C5336" s="8"/>
    </row>
    <row r="5337" spans="1:3" x14ac:dyDescent="0.25">
      <c r="A5337" s="8"/>
      <c r="B5337" s="9"/>
      <c r="C5337" s="8"/>
    </row>
    <row r="5338" spans="1:3" x14ac:dyDescent="0.25">
      <c r="A5338" s="8"/>
      <c r="B5338" s="9"/>
      <c r="C5338" s="8"/>
    </row>
    <row r="5339" spans="1:3" x14ac:dyDescent="0.25">
      <c r="A5339" s="8"/>
      <c r="B5339" s="9"/>
      <c r="C5339" s="8"/>
    </row>
    <row r="5340" spans="1:3" x14ac:dyDescent="0.25">
      <c r="A5340" s="8"/>
      <c r="B5340" s="9"/>
      <c r="C5340" s="8"/>
    </row>
    <row r="5341" spans="1:3" x14ac:dyDescent="0.25">
      <c r="A5341" s="8"/>
      <c r="B5341" s="9"/>
      <c r="C5341" s="8"/>
    </row>
    <row r="5342" spans="1:3" x14ac:dyDescent="0.25">
      <c r="A5342" s="8"/>
      <c r="B5342" s="9"/>
      <c r="C5342" s="8"/>
    </row>
    <row r="5343" spans="1:3" x14ac:dyDescent="0.25">
      <c r="A5343" s="8"/>
      <c r="B5343" s="9"/>
      <c r="C5343" s="8"/>
    </row>
    <row r="5344" spans="1:3" x14ac:dyDescent="0.25">
      <c r="A5344" s="8"/>
      <c r="B5344" s="9"/>
      <c r="C5344" s="8"/>
    </row>
    <row r="5345" spans="1:3" x14ac:dyDescent="0.25">
      <c r="A5345" s="8"/>
      <c r="B5345" s="9"/>
      <c r="C5345" s="8"/>
    </row>
    <row r="5346" spans="1:3" x14ac:dyDescent="0.25">
      <c r="A5346" s="8"/>
      <c r="B5346" s="9"/>
      <c r="C5346" s="8"/>
    </row>
    <row r="5347" spans="1:3" x14ac:dyDescent="0.25">
      <c r="A5347" s="8"/>
      <c r="B5347" s="9"/>
      <c r="C5347" s="8"/>
    </row>
    <row r="5348" spans="1:3" x14ac:dyDescent="0.25">
      <c r="A5348" s="8"/>
      <c r="B5348" s="9"/>
      <c r="C5348" s="8"/>
    </row>
    <row r="5349" spans="1:3" x14ac:dyDescent="0.25">
      <c r="A5349" s="8"/>
      <c r="B5349" s="9"/>
      <c r="C5349" s="8"/>
    </row>
    <row r="5350" spans="1:3" x14ac:dyDescent="0.25">
      <c r="A5350" s="8"/>
      <c r="B5350" s="9"/>
      <c r="C5350" s="8"/>
    </row>
    <row r="5351" spans="1:3" x14ac:dyDescent="0.25">
      <c r="A5351" s="8"/>
      <c r="B5351" s="9"/>
      <c r="C5351" s="8"/>
    </row>
    <row r="5352" spans="1:3" x14ac:dyDescent="0.25">
      <c r="A5352" s="8"/>
      <c r="B5352" s="9"/>
      <c r="C5352" s="8"/>
    </row>
    <row r="5353" spans="1:3" x14ac:dyDescent="0.25">
      <c r="A5353" s="8"/>
      <c r="B5353" s="9"/>
      <c r="C5353" s="8"/>
    </row>
    <row r="5354" spans="1:3" x14ac:dyDescent="0.25">
      <c r="A5354" s="8"/>
      <c r="B5354" s="9"/>
      <c r="C5354" s="8"/>
    </row>
    <row r="5355" spans="1:3" x14ac:dyDescent="0.25">
      <c r="A5355" s="8"/>
      <c r="B5355" s="9"/>
      <c r="C5355" s="8"/>
    </row>
    <row r="5356" spans="1:3" x14ac:dyDescent="0.25">
      <c r="A5356" s="8"/>
      <c r="B5356" s="9"/>
      <c r="C5356" s="8"/>
    </row>
    <row r="5357" spans="1:3" x14ac:dyDescent="0.25">
      <c r="A5357" s="8"/>
      <c r="B5357" s="9"/>
      <c r="C5357" s="8"/>
    </row>
    <row r="5358" spans="1:3" x14ac:dyDescent="0.25">
      <c r="A5358" s="8"/>
      <c r="B5358" s="9"/>
      <c r="C5358" s="8"/>
    </row>
    <row r="5359" spans="1:3" x14ac:dyDescent="0.25">
      <c r="A5359" s="8"/>
      <c r="B5359" s="9"/>
      <c r="C5359" s="8"/>
    </row>
    <row r="5360" spans="1:3" x14ac:dyDescent="0.25">
      <c r="A5360" s="8"/>
      <c r="B5360" s="9"/>
      <c r="C5360" s="8"/>
    </row>
    <row r="5361" spans="1:3" x14ac:dyDescent="0.25">
      <c r="A5361" s="8"/>
      <c r="B5361" s="9"/>
      <c r="C5361" s="8"/>
    </row>
    <row r="5362" spans="1:3" x14ac:dyDescent="0.25">
      <c r="A5362" s="8"/>
      <c r="B5362" s="9"/>
      <c r="C5362" s="8"/>
    </row>
    <row r="5363" spans="1:3" x14ac:dyDescent="0.25">
      <c r="A5363" s="8"/>
      <c r="B5363" s="9"/>
      <c r="C5363" s="8"/>
    </row>
    <row r="5364" spans="1:3" x14ac:dyDescent="0.25">
      <c r="A5364" s="8"/>
      <c r="B5364" s="9"/>
      <c r="C5364" s="8"/>
    </row>
    <row r="5365" spans="1:3" x14ac:dyDescent="0.25">
      <c r="A5365" s="8"/>
      <c r="B5365" s="9"/>
      <c r="C5365" s="8"/>
    </row>
    <row r="5366" spans="1:3" x14ac:dyDescent="0.25">
      <c r="A5366" s="8"/>
      <c r="B5366" s="9"/>
      <c r="C5366" s="8"/>
    </row>
    <row r="5367" spans="1:3" x14ac:dyDescent="0.25">
      <c r="A5367" s="8"/>
      <c r="B5367" s="9"/>
      <c r="C5367" s="8"/>
    </row>
    <row r="5368" spans="1:3" x14ac:dyDescent="0.25">
      <c r="A5368" s="8"/>
      <c r="B5368" s="9"/>
      <c r="C5368" s="8"/>
    </row>
    <row r="5369" spans="1:3" x14ac:dyDescent="0.25">
      <c r="A5369" s="8"/>
      <c r="B5369" s="9"/>
      <c r="C5369" s="8"/>
    </row>
    <row r="5370" spans="1:3" x14ac:dyDescent="0.25">
      <c r="A5370" s="8"/>
      <c r="B5370" s="9"/>
      <c r="C5370" s="8"/>
    </row>
    <row r="5371" spans="1:3" x14ac:dyDescent="0.25">
      <c r="A5371" s="8"/>
      <c r="B5371" s="9"/>
      <c r="C5371" s="8"/>
    </row>
    <row r="5372" spans="1:3" x14ac:dyDescent="0.25">
      <c r="A5372" s="8"/>
      <c r="B5372" s="9"/>
      <c r="C5372" s="8"/>
    </row>
    <row r="5373" spans="1:3" x14ac:dyDescent="0.25">
      <c r="A5373" s="8"/>
      <c r="B5373" s="9"/>
      <c r="C5373" s="8"/>
    </row>
    <row r="5374" spans="1:3" x14ac:dyDescent="0.25">
      <c r="A5374" s="8"/>
      <c r="B5374" s="9"/>
      <c r="C5374" s="8"/>
    </row>
    <row r="5375" spans="1:3" x14ac:dyDescent="0.25">
      <c r="A5375" s="8"/>
      <c r="B5375" s="9"/>
      <c r="C5375" s="8"/>
    </row>
    <row r="5376" spans="1:3" x14ac:dyDescent="0.25">
      <c r="A5376" s="8"/>
      <c r="B5376" s="9"/>
      <c r="C5376" s="8"/>
    </row>
    <row r="5377" spans="1:3" x14ac:dyDescent="0.25">
      <c r="A5377" s="8"/>
      <c r="B5377" s="9"/>
      <c r="C5377" s="8"/>
    </row>
    <row r="5378" spans="1:3" x14ac:dyDescent="0.25">
      <c r="A5378" s="8"/>
      <c r="B5378" s="9"/>
      <c r="C5378" s="8"/>
    </row>
    <row r="5379" spans="1:3" x14ac:dyDescent="0.25">
      <c r="A5379" s="8"/>
      <c r="B5379" s="9"/>
      <c r="C5379" s="8"/>
    </row>
    <row r="5380" spans="1:3" x14ac:dyDescent="0.25">
      <c r="A5380" s="8"/>
      <c r="B5380" s="9"/>
      <c r="C5380" s="8"/>
    </row>
    <row r="5381" spans="1:3" x14ac:dyDescent="0.25">
      <c r="A5381" s="8"/>
      <c r="B5381" s="9"/>
      <c r="C5381" s="8"/>
    </row>
    <row r="5382" spans="1:3" x14ac:dyDescent="0.25">
      <c r="A5382" s="8"/>
      <c r="B5382" s="9"/>
      <c r="C5382" s="8"/>
    </row>
    <row r="5383" spans="1:3" x14ac:dyDescent="0.25">
      <c r="A5383" s="8"/>
      <c r="B5383" s="9"/>
      <c r="C5383" s="8"/>
    </row>
    <row r="5384" spans="1:3" x14ac:dyDescent="0.25">
      <c r="A5384" s="8"/>
      <c r="B5384" s="9"/>
      <c r="C5384" s="8"/>
    </row>
    <row r="5385" spans="1:3" x14ac:dyDescent="0.25">
      <c r="A5385" s="8"/>
      <c r="B5385" s="9"/>
      <c r="C5385" s="8"/>
    </row>
    <row r="5386" spans="1:3" x14ac:dyDescent="0.25">
      <c r="A5386" s="8"/>
      <c r="B5386" s="9"/>
      <c r="C5386" s="8"/>
    </row>
    <row r="5387" spans="1:3" x14ac:dyDescent="0.25">
      <c r="A5387" s="8"/>
      <c r="B5387" s="9"/>
      <c r="C5387" s="8"/>
    </row>
    <row r="5388" spans="1:3" x14ac:dyDescent="0.25">
      <c r="A5388" s="8"/>
      <c r="B5388" s="9"/>
      <c r="C5388" s="8"/>
    </row>
    <row r="5389" spans="1:3" x14ac:dyDescent="0.25">
      <c r="A5389" s="8"/>
      <c r="B5389" s="9"/>
      <c r="C5389" s="8"/>
    </row>
    <row r="5390" spans="1:3" x14ac:dyDescent="0.25">
      <c r="A5390" s="8"/>
      <c r="B5390" s="9"/>
      <c r="C5390" s="8"/>
    </row>
    <row r="5391" spans="1:3" x14ac:dyDescent="0.25">
      <c r="A5391" s="8"/>
      <c r="B5391" s="9"/>
      <c r="C5391" s="8"/>
    </row>
    <row r="5392" spans="1:3" x14ac:dyDescent="0.25">
      <c r="A5392" s="8"/>
      <c r="B5392" s="9"/>
      <c r="C5392" s="8"/>
    </row>
    <row r="5393" spans="1:3" x14ac:dyDescent="0.25">
      <c r="A5393" s="8"/>
      <c r="B5393" s="9"/>
      <c r="C5393" s="8"/>
    </row>
    <row r="5394" spans="1:3" x14ac:dyDescent="0.25">
      <c r="A5394" s="8"/>
      <c r="B5394" s="9"/>
      <c r="C5394" s="8"/>
    </row>
    <row r="5395" spans="1:3" x14ac:dyDescent="0.25">
      <c r="A5395" s="8"/>
      <c r="B5395" s="9"/>
      <c r="C5395" s="8"/>
    </row>
    <row r="5396" spans="1:3" x14ac:dyDescent="0.25">
      <c r="A5396" s="8"/>
      <c r="B5396" s="9"/>
      <c r="C5396" s="8"/>
    </row>
    <row r="5397" spans="1:3" x14ac:dyDescent="0.25">
      <c r="A5397" s="8"/>
      <c r="B5397" s="9"/>
      <c r="C5397" s="8"/>
    </row>
    <row r="5398" spans="1:3" x14ac:dyDescent="0.25">
      <c r="A5398" s="8"/>
      <c r="B5398" s="9"/>
      <c r="C5398" s="8"/>
    </row>
    <row r="5399" spans="1:3" x14ac:dyDescent="0.25">
      <c r="A5399" s="8"/>
      <c r="B5399" s="9"/>
      <c r="C5399" s="8"/>
    </row>
    <row r="5400" spans="1:3" x14ac:dyDescent="0.25">
      <c r="A5400" s="8"/>
      <c r="B5400" s="9"/>
      <c r="C5400" s="8"/>
    </row>
    <row r="5401" spans="1:3" x14ac:dyDescent="0.25">
      <c r="A5401" s="8"/>
      <c r="B5401" s="9"/>
      <c r="C5401" s="8"/>
    </row>
    <row r="5402" spans="1:3" x14ac:dyDescent="0.25">
      <c r="A5402" s="8"/>
      <c r="B5402" s="9"/>
      <c r="C5402" s="8"/>
    </row>
    <row r="5403" spans="1:3" x14ac:dyDescent="0.25">
      <c r="A5403" s="8"/>
      <c r="B5403" s="9"/>
      <c r="C5403" s="8"/>
    </row>
    <row r="5404" spans="1:3" x14ac:dyDescent="0.25">
      <c r="A5404" s="8"/>
      <c r="B5404" s="9"/>
      <c r="C5404" s="8"/>
    </row>
    <row r="5405" spans="1:3" x14ac:dyDescent="0.25">
      <c r="A5405" s="8"/>
      <c r="B5405" s="9"/>
      <c r="C5405" s="8"/>
    </row>
    <row r="5406" spans="1:3" x14ac:dyDescent="0.25">
      <c r="A5406" s="8"/>
      <c r="B5406" s="9"/>
      <c r="C5406" s="8"/>
    </row>
    <row r="5407" spans="1:3" x14ac:dyDescent="0.25">
      <c r="A5407" s="8"/>
      <c r="B5407" s="9"/>
      <c r="C5407" s="8"/>
    </row>
    <row r="5408" spans="1:3" x14ac:dyDescent="0.25">
      <c r="A5408" s="8"/>
      <c r="B5408" s="9"/>
      <c r="C5408" s="8"/>
    </row>
    <row r="5409" spans="1:3" x14ac:dyDescent="0.25">
      <c r="A5409" s="8"/>
      <c r="B5409" s="9"/>
      <c r="C5409" s="8"/>
    </row>
    <row r="5410" spans="1:3" x14ac:dyDescent="0.25">
      <c r="A5410" s="8"/>
      <c r="B5410" s="9"/>
      <c r="C5410" s="8"/>
    </row>
    <row r="5411" spans="1:3" x14ac:dyDescent="0.25">
      <c r="A5411" s="8"/>
      <c r="B5411" s="9"/>
      <c r="C5411" s="8"/>
    </row>
    <row r="5412" spans="1:3" x14ac:dyDescent="0.25">
      <c r="A5412" s="8"/>
      <c r="B5412" s="9"/>
      <c r="C5412" s="8"/>
    </row>
    <row r="5413" spans="1:3" x14ac:dyDescent="0.25">
      <c r="A5413" s="8"/>
      <c r="B5413" s="9"/>
      <c r="C5413" s="8"/>
    </row>
    <row r="5414" spans="1:3" x14ac:dyDescent="0.25">
      <c r="A5414" s="8"/>
      <c r="B5414" s="9"/>
      <c r="C5414" s="8"/>
    </row>
    <row r="5415" spans="1:3" x14ac:dyDescent="0.25">
      <c r="A5415" s="8"/>
      <c r="B5415" s="9"/>
      <c r="C5415" s="8"/>
    </row>
    <row r="5416" spans="1:3" x14ac:dyDescent="0.25">
      <c r="A5416" s="8"/>
      <c r="B5416" s="9"/>
      <c r="C5416" s="8"/>
    </row>
    <row r="5417" spans="1:3" x14ac:dyDescent="0.25">
      <c r="A5417" s="8"/>
      <c r="B5417" s="9"/>
      <c r="C5417" s="8"/>
    </row>
    <row r="5418" spans="1:3" x14ac:dyDescent="0.25">
      <c r="A5418" s="8"/>
      <c r="B5418" s="9"/>
      <c r="C5418" s="8"/>
    </row>
    <row r="5419" spans="1:3" x14ac:dyDescent="0.25">
      <c r="A5419" s="8"/>
      <c r="B5419" s="9"/>
      <c r="C5419" s="8"/>
    </row>
    <row r="5420" spans="1:3" x14ac:dyDescent="0.25">
      <c r="A5420" s="8"/>
      <c r="B5420" s="9"/>
      <c r="C5420" s="8"/>
    </row>
    <row r="5421" spans="1:3" x14ac:dyDescent="0.25">
      <c r="A5421" s="8"/>
      <c r="B5421" s="9"/>
      <c r="C5421" s="8"/>
    </row>
    <row r="5422" spans="1:3" x14ac:dyDescent="0.25">
      <c r="A5422" s="8"/>
      <c r="B5422" s="9"/>
      <c r="C5422" s="8"/>
    </row>
    <row r="5423" spans="1:3" x14ac:dyDescent="0.25">
      <c r="A5423" s="8"/>
      <c r="B5423" s="9"/>
      <c r="C5423" s="8"/>
    </row>
    <row r="5424" spans="1:3" x14ac:dyDescent="0.25">
      <c r="A5424" s="8"/>
      <c r="B5424" s="9"/>
      <c r="C5424" s="8"/>
    </row>
    <row r="5425" spans="1:3" x14ac:dyDescent="0.25">
      <c r="A5425" s="8"/>
      <c r="B5425" s="9"/>
      <c r="C5425" s="8"/>
    </row>
    <row r="5426" spans="1:3" x14ac:dyDescent="0.25">
      <c r="A5426" s="8"/>
      <c r="B5426" s="9"/>
      <c r="C5426" s="8"/>
    </row>
    <row r="5427" spans="1:3" x14ac:dyDescent="0.25">
      <c r="A5427" s="8"/>
      <c r="B5427" s="9"/>
      <c r="C5427" s="8"/>
    </row>
    <row r="5428" spans="1:3" x14ac:dyDescent="0.25">
      <c r="A5428" s="8"/>
      <c r="B5428" s="9"/>
      <c r="C5428" s="8"/>
    </row>
    <row r="5429" spans="1:3" x14ac:dyDescent="0.25">
      <c r="A5429" s="8"/>
      <c r="B5429" s="9"/>
      <c r="C5429" s="8"/>
    </row>
    <row r="5430" spans="1:3" x14ac:dyDescent="0.25">
      <c r="A5430" s="8"/>
      <c r="B5430" s="9"/>
      <c r="C5430" s="8"/>
    </row>
    <row r="5431" spans="1:3" x14ac:dyDescent="0.25">
      <c r="A5431" s="8"/>
      <c r="B5431" s="9"/>
      <c r="C5431" s="8"/>
    </row>
    <row r="5432" spans="1:3" x14ac:dyDescent="0.25">
      <c r="A5432" s="8"/>
      <c r="B5432" s="9"/>
      <c r="C5432" s="8"/>
    </row>
    <row r="5433" spans="1:3" x14ac:dyDescent="0.25">
      <c r="A5433" s="8"/>
      <c r="B5433" s="9"/>
      <c r="C5433" s="8"/>
    </row>
    <row r="5434" spans="1:3" x14ac:dyDescent="0.25">
      <c r="A5434" s="8"/>
      <c r="B5434" s="9"/>
      <c r="C5434" s="8"/>
    </row>
    <row r="5435" spans="1:3" x14ac:dyDescent="0.25">
      <c r="A5435" s="8"/>
      <c r="B5435" s="9"/>
      <c r="C5435" s="8"/>
    </row>
    <row r="5436" spans="1:3" x14ac:dyDescent="0.25">
      <c r="A5436" s="8"/>
      <c r="B5436" s="9"/>
      <c r="C5436" s="8"/>
    </row>
    <row r="5437" spans="1:3" x14ac:dyDescent="0.25">
      <c r="A5437" s="8"/>
      <c r="B5437" s="9"/>
      <c r="C5437" s="8"/>
    </row>
    <row r="5438" spans="1:3" x14ac:dyDescent="0.25">
      <c r="A5438" s="8"/>
      <c r="B5438" s="9"/>
      <c r="C5438" s="8"/>
    </row>
    <row r="5439" spans="1:3" x14ac:dyDescent="0.25">
      <c r="A5439" s="8"/>
      <c r="B5439" s="9"/>
      <c r="C5439" s="8"/>
    </row>
    <row r="5440" spans="1:3" x14ac:dyDescent="0.25">
      <c r="A5440" s="8"/>
      <c r="B5440" s="9"/>
      <c r="C5440" s="8"/>
    </row>
    <row r="5441" spans="1:3" x14ac:dyDescent="0.25">
      <c r="A5441" s="8"/>
      <c r="B5441" s="9"/>
      <c r="C5441" s="8"/>
    </row>
    <row r="5442" spans="1:3" x14ac:dyDescent="0.25">
      <c r="A5442" s="8"/>
      <c r="B5442" s="9"/>
      <c r="C5442" s="8"/>
    </row>
    <row r="5443" spans="1:3" x14ac:dyDescent="0.25">
      <c r="A5443" s="8"/>
      <c r="B5443" s="9"/>
      <c r="C5443" s="8"/>
    </row>
    <row r="5444" spans="1:3" x14ac:dyDescent="0.25">
      <c r="A5444" s="8"/>
      <c r="B5444" s="9"/>
      <c r="C5444" s="8"/>
    </row>
    <row r="5445" spans="1:3" x14ac:dyDescent="0.25">
      <c r="A5445" s="8"/>
      <c r="B5445" s="9"/>
      <c r="C5445" s="8"/>
    </row>
    <row r="5446" spans="1:3" x14ac:dyDescent="0.25">
      <c r="A5446" s="8"/>
      <c r="B5446" s="9"/>
      <c r="C5446" s="8"/>
    </row>
    <row r="5447" spans="1:3" x14ac:dyDescent="0.25">
      <c r="A5447" s="8"/>
      <c r="B5447" s="9"/>
      <c r="C5447" s="8"/>
    </row>
    <row r="5448" spans="1:3" x14ac:dyDescent="0.25">
      <c r="A5448" s="8"/>
      <c r="B5448" s="9"/>
      <c r="C5448" s="8"/>
    </row>
    <row r="5449" spans="1:3" x14ac:dyDescent="0.25">
      <c r="A5449" s="8"/>
      <c r="B5449" s="9"/>
      <c r="C5449" s="8"/>
    </row>
    <row r="5450" spans="1:3" x14ac:dyDescent="0.25">
      <c r="A5450" s="8"/>
      <c r="B5450" s="9"/>
      <c r="C5450" s="8"/>
    </row>
    <row r="5451" spans="1:3" x14ac:dyDescent="0.25">
      <c r="A5451" s="8"/>
      <c r="B5451" s="9"/>
      <c r="C5451" s="8"/>
    </row>
    <row r="5452" spans="1:3" x14ac:dyDescent="0.25">
      <c r="A5452" s="8"/>
      <c r="B5452" s="9"/>
      <c r="C5452" s="8"/>
    </row>
    <row r="5453" spans="1:3" x14ac:dyDescent="0.25">
      <c r="A5453" s="8"/>
      <c r="B5453" s="9"/>
      <c r="C5453" s="8"/>
    </row>
    <row r="5454" spans="1:3" x14ac:dyDescent="0.25">
      <c r="A5454" s="8"/>
      <c r="B5454" s="9"/>
      <c r="C5454" s="8"/>
    </row>
    <row r="5455" spans="1:3" x14ac:dyDescent="0.25">
      <c r="A5455" s="8"/>
      <c r="B5455" s="9"/>
      <c r="C5455" s="8"/>
    </row>
    <row r="5456" spans="1:3" x14ac:dyDescent="0.25">
      <c r="A5456" s="8"/>
      <c r="B5456" s="9"/>
      <c r="C5456" s="8"/>
    </row>
    <row r="5457" spans="1:3" x14ac:dyDescent="0.25">
      <c r="A5457" s="8"/>
      <c r="B5457" s="9"/>
      <c r="C5457" s="8"/>
    </row>
    <row r="5458" spans="1:3" x14ac:dyDescent="0.25">
      <c r="A5458" s="8"/>
      <c r="B5458" s="9"/>
      <c r="C5458" s="8"/>
    </row>
    <row r="5459" spans="1:3" x14ac:dyDescent="0.25">
      <c r="A5459" s="8"/>
      <c r="B5459" s="9"/>
      <c r="C5459" s="8"/>
    </row>
    <row r="5460" spans="1:3" x14ac:dyDescent="0.25">
      <c r="A5460" s="8"/>
      <c r="B5460" s="9"/>
      <c r="C5460" s="8"/>
    </row>
    <row r="5461" spans="1:3" x14ac:dyDescent="0.25">
      <c r="A5461" s="8"/>
      <c r="B5461" s="9"/>
      <c r="C5461" s="8"/>
    </row>
    <row r="5462" spans="1:3" x14ac:dyDescent="0.25">
      <c r="A5462" s="8"/>
      <c r="B5462" s="9"/>
      <c r="C5462" s="8"/>
    </row>
    <row r="5463" spans="1:3" x14ac:dyDescent="0.25">
      <c r="A5463" s="8"/>
      <c r="B5463" s="9"/>
      <c r="C5463" s="8"/>
    </row>
    <row r="5464" spans="1:3" x14ac:dyDescent="0.25">
      <c r="A5464" s="8"/>
      <c r="B5464" s="9"/>
      <c r="C5464" s="8"/>
    </row>
    <row r="5465" spans="1:3" x14ac:dyDescent="0.25">
      <c r="A5465" s="8"/>
      <c r="B5465" s="9"/>
      <c r="C5465" s="8"/>
    </row>
    <row r="5466" spans="1:3" x14ac:dyDescent="0.25">
      <c r="A5466" s="8"/>
      <c r="B5466" s="9"/>
      <c r="C5466" s="8"/>
    </row>
    <row r="5467" spans="1:3" x14ac:dyDescent="0.25">
      <c r="A5467" s="8"/>
      <c r="B5467" s="9"/>
      <c r="C5467" s="8"/>
    </row>
    <row r="5468" spans="1:3" x14ac:dyDescent="0.25">
      <c r="A5468" s="8"/>
      <c r="B5468" s="9"/>
      <c r="C5468" s="8"/>
    </row>
    <row r="5469" spans="1:3" x14ac:dyDescent="0.25">
      <c r="A5469" s="8"/>
      <c r="B5469" s="9"/>
      <c r="C5469" s="8"/>
    </row>
    <row r="5470" spans="1:3" x14ac:dyDescent="0.25">
      <c r="A5470" s="8"/>
      <c r="B5470" s="9"/>
      <c r="C5470" s="8"/>
    </row>
    <row r="5471" spans="1:3" x14ac:dyDescent="0.25">
      <c r="A5471" s="8"/>
      <c r="B5471" s="9"/>
      <c r="C5471" s="8"/>
    </row>
    <row r="5472" spans="1:3" x14ac:dyDescent="0.25">
      <c r="A5472" s="8"/>
      <c r="B5472" s="9"/>
      <c r="C5472" s="8"/>
    </row>
    <row r="5473" spans="1:3" x14ac:dyDescent="0.25">
      <c r="A5473" s="8"/>
      <c r="B5473" s="9"/>
      <c r="C5473" s="8"/>
    </row>
    <row r="5474" spans="1:3" x14ac:dyDescent="0.25">
      <c r="A5474" s="8"/>
      <c r="B5474" s="9"/>
      <c r="C5474" s="8"/>
    </row>
    <row r="5475" spans="1:3" x14ac:dyDescent="0.25">
      <c r="A5475" s="8"/>
      <c r="B5475" s="9"/>
      <c r="C5475" s="8"/>
    </row>
    <row r="5476" spans="1:3" x14ac:dyDescent="0.25">
      <c r="A5476" s="8"/>
      <c r="B5476" s="9"/>
      <c r="C5476" s="8"/>
    </row>
    <row r="5477" spans="1:3" x14ac:dyDescent="0.25">
      <c r="A5477" s="8"/>
      <c r="B5477" s="9"/>
      <c r="C5477" s="8"/>
    </row>
    <row r="5478" spans="1:3" x14ac:dyDescent="0.25">
      <c r="A5478" s="8"/>
      <c r="B5478" s="9"/>
      <c r="C5478" s="8"/>
    </row>
    <row r="5479" spans="1:3" x14ac:dyDescent="0.25">
      <c r="A5479" s="8"/>
      <c r="B5479" s="9"/>
      <c r="C5479" s="8"/>
    </row>
    <row r="5480" spans="1:3" x14ac:dyDescent="0.25">
      <c r="A5480" s="8"/>
      <c r="B5480" s="9"/>
      <c r="C5480" s="8"/>
    </row>
    <row r="5481" spans="1:3" x14ac:dyDescent="0.25">
      <c r="A5481" s="8"/>
      <c r="B5481" s="9"/>
      <c r="C5481" s="8"/>
    </row>
    <row r="5482" spans="1:3" x14ac:dyDescent="0.25">
      <c r="A5482" s="8"/>
      <c r="B5482" s="9"/>
      <c r="C5482" s="8"/>
    </row>
    <row r="5483" spans="1:3" x14ac:dyDescent="0.25">
      <c r="A5483" s="8"/>
      <c r="B5483" s="9"/>
      <c r="C5483" s="8"/>
    </row>
    <row r="5484" spans="1:3" x14ac:dyDescent="0.25">
      <c r="A5484" s="8"/>
      <c r="B5484" s="9"/>
      <c r="C5484" s="8"/>
    </row>
    <row r="5485" spans="1:3" x14ac:dyDescent="0.25">
      <c r="A5485" s="8"/>
      <c r="B5485" s="9"/>
      <c r="C5485" s="8"/>
    </row>
    <row r="5486" spans="1:3" x14ac:dyDescent="0.25">
      <c r="A5486" s="8"/>
      <c r="B5486" s="9"/>
      <c r="C5486" s="8"/>
    </row>
    <row r="5487" spans="1:3" x14ac:dyDescent="0.25">
      <c r="A5487" s="8"/>
      <c r="B5487" s="9"/>
      <c r="C5487" s="8"/>
    </row>
    <row r="5488" spans="1:3" x14ac:dyDescent="0.25">
      <c r="A5488" s="8"/>
      <c r="B5488" s="9"/>
      <c r="C5488" s="8"/>
    </row>
    <row r="5489" spans="1:3" x14ac:dyDescent="0.25">
      <c r="A5489" s="8"/>
      <c r="B5489" s="9"/>
      <c r="C5489" s="8"/>
    </row>
    <row r="5490" spans="1:3" x14ac:dyDescent="0.25">
      <c r="A5490" s="8"/>
      <c r="B5490" s="9"/>
      <c r="C5490" s="8"/>
    </row>
    <row r="5491" spans="1:3" x14ac:dyDescent="0.25">
      <c r="A5491" s="8"/>
      <c r="B5491" s="9"/>
      <c r="C5491" s="8"/>
    </row>
    <row r="5492" spans="1:3" x14ac:dyDescent="0.25">
      <c r="A5492" s="8"/>
      <c r="B5492" s="9"/>
      <c r="C5492" s="8"/>
    </row>
    <row r="5493" spans="1:3" x14ac:dyDescent="0.25">
      <c r="A5493" s="8"/>
      <c r="B5493" s="9"/>
      <c r="C5493" s="8"/>
    </row>
    <row r="5494" spans="1:3" x14ac:dyDescent="0.25">
      <c r="A5494" s="8"/>
      <c r="B5494" s="9"/>
      <c r="C5494" s="8"/>
    </row>
    <row r="5495" spans="1:3" x14ac:dyDescent="0.25">
      <c r="A5495" s="8"/>
      <c r="B5495" s="9"/>
      <c r="C5495" s="8"/>
    </row>
    <row r="5496" spans="1:3" x14ac:dyDescent="0.25">
      <c r="A5496" s="8"/>
      <c r="B5496" s="9"/>
      <c r="C5496" s="8"/>
    </row>
    <row r="5497" spans="1:3" x14ac:dyDescent="0.25">
      <c r="A5497" s="8"/>
      <c r="B5497" s="9"/>
      <c r="C5497" s="8"/>
    </row>
    <row r="5498" spans="1:3" x14ac:dyDescent="0.25">
      <c r="A5498" s="8"/>
      <c r="B5498" s="9"/>
      <c r="C5498" s="8"/>
    </row>
    <row r="5499" spans="1:3" x14ac:dyDescent="0.25">
      <c r="A5499" s="8"/>
      <c r="B5499" s="9"/>
      <c r="C5499" s="8"/>
    </row>
    <row r="5500" spans="1:3" x14ac:dyDescent="0.25">
      <c r="A5500" s="8"/>
      <c r="B5500" s="9"/>
      <c r="C5500" s="8"/>
    </row>
    <row r="5501" spans="1:3" x14ac:dyDescent="0.25">
      <c r="A5501" s="8"/>
      <c r="B5501" s="9"/>
      <c r="C5501" s="8"/>
    </row>
    <row r="5502" spans="1:3" x14ac:dyDescent="0.25">
      <c r="A5502" s="8"/>
      <c r="B5502" s="9"/>
      <c r="C5502" s="8"/>
    </row>
    <row r="5503" spans="1:3" x14ac:dyDescent="0.25">
      <c r="A5503" s="8"/>
      <c r="B5503" s="9"/>
      <c r="C5503" s="8"/>
    </row>
    <row r="5504" spans="1:3" x14ac:dyDescent="0.25">
      <c r="A5504" s="8"/>
      <c r="B5504" s="9"/>
      <c r="C5504" s="8"/>
    </row>
    <row r="5505" spans="1:3" x14ac:dyDescent="0.25">
      <c r="A5505" s="8"/>
      <c r="B5505" s="9"/>
      <c r="C5505" s="8"/>
    </row>
    <row r="5506" spans="1:3" x14ac:dyDescent="0.25">
      <c r="A5506" s="8"/>
      <c r="B5506" s="9"/>
      <c r="C5506" s="8"/>
    </row>
    <row r="5507" spans="1:3" x14ac:dyDescent="0.25">
      <c r="A5507" s="8"/>
      <c r="B5507" s="9"/>
      <c r="C5507" s="8"/>
    </row>
    <row r="5508" spans="1:3" x14ac:dyDescent="0.25">
      <c r="A5508" s="8"/>
      <c r="B5508" s="9"/>
      <c r="C5508" s="8"/>
    </row>
    <row r="5509" spans="1:3" x14ac:dyDescent="0.25">
      <c r="A5509" s="8"/>
      <c r="B5509" s="9"/>
      <c r="C5509" s="8"/>
    </row>
    <row r="5510" spans="1:3" x14ac:dyDescent="0.25">
      <c r="A5510" s="8"/>
      <c r="B5510" s="9"/>
      <c r="C5510" s="8"/>
    </row>
    <row r="5511" spans="1:3" x14ac:dyDescent="0.25">
      <c r="A5511" s="8"/>
      <c r="B5511" s="9"/>
      <c r="C5511" s="8"/>
    </row>
    <row r="5512" spans="1:3" x14ac:dyDescent="0.25">
      <c r="A5512" s="8"/>
      <c r="B5512" s="9"/>
      <c r="C5512" s="8"/>
    </row>
    <row r="5513" spans="1:3" x14ac:dyDescent="0.25">
      <c r="A5513" s="8"/>
      <c r="B5513" s="9"/>
      <c r="C5513" s="8"/>
    </row>
    <row r="5514" spans="1:3" x14ac:dyDescent="0.25">
      <c r="A5514" s="8"/>
      <c r="B5514" s="9"/>
      <c r="C5514" s="8"/>
    </row>
    <row r="5515" spans="1:3" x14ac:dyDescent="0.25">
      <c r="A5515" s="8"/>
      <c r="B5515" s="9"/>
      <c r="C5515" s="8"/>
    </row>
    <row r="5516" spans="1:3" x14ac:dyDescent="0.25">
      <c r="A5516" s="8"/>
      <c r="B5516" s="9"/>
      <c r="C5516" s="8"/>
    </row>
    <row r="5517" spans="1:3" x14ac:dyDescent="0.25">
      <c r="A5517" s="8"/>
      <c r="B5517" s="9"/>
      <c r="C5517" s="8"/>
    </row>
    <row r="5518" spans="1:3" x14ac:dyDescent="0.25">
      <c r="A5518" s="8"/>
      <c r="B5518" s="9"/>
      <c r="C5518" s="8"/>
    </row>
    <row r="5519" spans="1:3" x14ac:dyDescent="0.25">
      <c r="A5519" s="8"/>
      <c r="B5519" s="9"/>
      <c r="C5519" s="8"/>
    </row>
    <row r="5520" spans="1:3" x14ac:dyDescent="0.25">
      <c r="A5520" s="8"/>
      <c r="B5520" s="9"/>
      <c r="C5520" s="8"/>
    </row>
    <row r="5521" spans="1:3" x14ac:dyDescent="0.25">
      <c r="A5521" s="8"/>
      <c r="B5521" s="9"/>
      <c r="C5521" s="8"/>
    </row>
    <row r="5522" spans="1:3" x14ac:dyDescent="0.25">
      <c r="A5522" s="8"/>
      <c r="B5522" s="9"/>
      <c r="C5522" s="8"/>
    </row>
    <row r="5523" spans="1:3" x14ac:dyDescent="0.25">
      <c r="A5523" s="8"/>
      <c r="B5523" s="9"/>
      <c r="C5523" s="8"/>
    </row>
    <row r="5524" spans="1:3" x14ac:dyDescent="0.25">
      <c r="A5524" s="8"/>
      <c r="B5524" s="9"/>
      <c r="C5524" s="8"/>
    </row>
    <row r="5525" spans="1:3" x14ac:dyDescent="0.25">
      <c r="A5525" s="8"/>
      <c r="B5525" s="9"/>
      <c r="C5525" s="8"/>
    </row>
    <row r="5526" spans="1:3" x14ac:dyDescent="0.25">
      <c r="A5526" s="8"/>
      <c r="B5526" s="9"/>
      <c r="C5526" s="8"/>
    </row>
    <row r="5527" spans="1:3" x14ac:dyDescent="0.25">
      <c r="A5527" s="8"/>
      <c r="B5527" s="9"/>
      <c r="C5527" s="8"/>
    </row>
    <row r="5528" spans="1:3" x14ac:dyDescent="0.25">
      <c r="A5528" s="8"/>
      <c r="B5528" s="9"/>
      <c r="C5528" s="8"/>
    </row>
    <row r="5529" spans="1:3" x14ac:dyDescent="0.25">
      <c r="A5529" s="8"/>
      <c r="B5529" s="9"/>
      <c r="C5529" s="8"/>
    </row>
    <row r="5530" spans="1:3" x14ac:dyDescent="0.25">
      <c r="A5530" s="8"/>
      <c r="B5530" s="9"/>
      <c r="C5530" s="8"/>
    </row>
    <row r="5531" spans="1:3" x14ac:dyDescent="0.25">
      <c r="A5531" s="8"/>
      <c r="B5531" s="9"/>
      <c r="C5531" s="8"/>
    </row>
    <row r="5532" spans="1:3" x14ac:dyDescent="0.25">
      <c r="A5532" s="8"/>
      <c r="B5532" s="9"/>
      <c r="C5532" s="8"/>
    </row>
    <row r="5533" spans="1:3" x14ac:dyDescent="0.25">
      <c r="A5533" s="8"/>
      <c r="B5533" s="9"/>
      <c r="C5533" s="8"/>
    </row>
    <row r="5534" spans="1:3" x14ac:dyDescent="0.25">
      <c r="A5534" s="8"/>
      <c r="B5534" s="9"/>
      <c r="C5534" s="8"/>
    </row>
    <row r="5535" spans="1:3" x14ac:dyDescent="0.25">
      <c r="A5535" s="8"/>
      <c r="B5535" s="9"/>
      <c r="C5535" s="8"/>
    </row>
    <row r="5536" spans="1:3" x14ac:dyDescent="0.25">
      <c r="A5536" s="8"/>
      <c r="B5536" s="9"/>
      <c r="C5536" s="8"/>
    </row>
    <row r="5537" spans="1:3" x14ac:dyDescent="0.25">
      <c r="A5537" s="8"/>
      <c r="B5537" s="9"/>
      <c r="C5537" s="8"/>
    </row>
    <row r="5538" spans="1:3" x14ac:dyDescent="0.25">
      <c r="A5538" s="8"/>
      <c r="B5538" s="9"/>
      <c r="C5538" s="8"/>
    </row>
    <row r="5539" spans="1:3" x14ac:dyDescent="0.25">
      <c r="A5539" s="8"/>
      <c r="B5539" s="9"/>
      <c r="C5539" s="8"/>
    </row>
    <row r="5540" spans="1:3" x14ac:dyDescent="0.25">
      <c r="A5540" s="8"/>
      <c r="B5540" s="9"/>
      <c r="C5540" s="8"/>
    </row>
    <row r="5541" spans="1:3" x14ac:dyDescent="0.25">
      <c r="A5541" s="8"/>
      <c r="B5541" s="9"/>
      <c r="C5541" s="8"/>
    </row>
    <row r="5542" spans="1:3" x14ac:dyDescent="0.25">
      <c r="A5542" s="8"/>
      <c r="B5542" s="9"/>
      <c r="C5542" s="8"/>
    </row>
    <row r="5543" spans="1:3" x14ac:dyDescent="0.25">
      <c r="A5543" s="8"/>
      <c r="B5543" s="9"/>
      <c r="C5543" s="8"/>
    </row>
    <row r="5544" spans="1:3" x14ac:dyDescent="0.25">
      <c r="A5544" s="8"/>
      <c r="B5544" s="9"/>
      <c r="C5544" s="8"/>
    </row>
    <row r="5545" spans="1:3" x14ac:dyDescent="0.25">
      <c r="A5545" s="8"/>
      <c r="B5545" s="9"/>
      <c r="C5545" s="8"/>
    </row>
    <row r="5546" spans="1:3" x14ac:dyDescent="0.25">
      <c r="A5546" s="8"/>
      <c r="B5546" s="9"/>
      <c r="C5546" s="8"/>
    </row>
    <row r="5547" spans="1:3" x14ac:dyDescent="0.25">
      <c r="A5547" s="8"/>
      <c r="B5547" s="9"/>
      <c r="C5547" s="8"/>
    </row>
    <row r="5548" spans="1:3" x14ac:dyDescent="0.25">
      <c r="A5548" s="8"/>
      <c r="B5548" s="9"/>
      <c r="C5548" s="8"/>
    </row>
    <row r="5549" spans="1:3" x14ac:dyDescent="0.25">
      <c r="A5549" s="8"/>
      <c r="B5549" s="9"/>
      <c r="C5549" s="8"/>
    </row>
    <row r="5550" spans="1:3" x14ac:dyDescent="0.25">
      <c r="A5550" s="8"/>
      <c r="B5550" s="9"/>
      <c r="C5550" s="8"/>
    </row>
    <row r="5551" spans="1:3" x14ac:dyDescent="0.25">
      <c r="A5551" s="8"/>
      <c r="B5551" s="9"/>
      <c r="C5551" s="8"/>
    </row>
    <row r="5552" spans="1:3" x14ac:dyDescent="0.25">
      <c r="A5552" s="8"/>
      <c r="B5552" s="9"/>
      <c r="C5552" s="8"/>
    </row>
    <row r="5553" spans="1:3" x14ac:dyDescent="0.25">
      <c r="A5553" s="8"/>
      <c r="B5553" s="9"/>
      <c r="C5553" s="8"/>
    </row>
    <row r="5554" spans="1:3" x14ac:dyDescent="0.25">
      <c r="A5554" s="8"/>
      <c r="B5554" s="9"/>
      <c r="C5554" s="8"/>
    </row>
    <row r="5555" spans="1:3" x14ac:dyDescent="0.25">
      <c r="A5555" s="8"/>
      <c r="B5555" s="9"/>
      <c r="C5555" s="8"/>
    </row>
    <row r="5556" spans="1:3" x14ac:dyDescent="0.25">
      <c r="A5556" s="8"/>
      <c r="B5556" s="9"/>
      <c r="C5556" s="8"/>
    </row>
    <row r="5557" spans="1:3" x14ac:dyDescent="0.25">
      <c r="A5557" s="8"/>
      <c r="B5557" s="9"/>
      <c r="C5557" s="8"/>
    </row>
    <row r="5558" spans="1:3" x14ac:dyDescent="0.25">
      <c r="A5558" s="8"/>
      <c r="B5558" s="9"/>
      <c r="C5558" s="8"/>
    </row>
    <row r="5559" spans="1:3" x14ac:dyDescent="0.25">
      <c r="A5559" s="8"/>
      <c r="B5559" s="9"/>
      <c r="C5559" s="8"/>
    </row>
    <row r="5560" spans="1:3" x14ac:dyDescent="0.25">
      <c r="A5560" s="8"/>
      <c r="B5560" s="9"/>
      <c r="C5560" s="8"/>
    </row>
    <row r="5561" spans="1:3" x14ac:dyDescent="0.25">
      <c r="A5561" s="8"/>
      <c r="B5561" s="9"/>
      <c r="C5561" s="8"/>
    </row>
    <row r="5562" spans="1:3" x14ac:dyDescent="0.25">
      <c r="A5562" s="8"/>
      <c r="B5562" s="9"/>
      <c r="C5562" s="8"/>
    </row>
    <row r="5563" spans="1:3" x14ac:dyDescent="0.25">
      <c r="A5563" s="8"/>
      <c r="B5563" s="9"/>
      <c r="C5563" s="8"/>
    </row>
    <row r="5564" spans="1:3" x14ac:dyDescent="0.25">
      <c r="A5564" s="8"/>
      <c r="B5564" s="9"/>
      <c r="C5564" s="8"/>
    </row>
    <row r="5565" spans="1:3" x14ac:dyDescent="0.25">
      <c r="A5565" s="8"/>
      <c r="B5565" s="9"/>
      <c r="C5565" s="8"/>
    </row>
    <row r="5566" spans="1:3" x14ac:dyDescent="0.25">
      <c r="A5566" s="8"/>
      <c r="B5566" s="9"/>
      <c r="C5566" s="8"/>
    </row>
    <row r="5567" spans="1:3" x14ac:dyDescent="0.25">
      <c r="A5567" s="8"/>
      <c r="B5567" s="9"/>
      <c r="C5567" s="8"/>
    </row>
    <row r="5568" spans="1:3" x14ac:dyDescent="0.25">
      <c r="A5568" s="8"/>
      <c r="B5568" s="9"/>
      <c r="C5568" s="8"/>
    </row>
    <row r="5569" spans="1:3" x14ac:dyDescent="0.25">
      <c r="A5569" s="8"/>
      <c r="B5569" s="9"/>
      <c r="C5569" s="8"/>
    </row>
    <row r="5570" spans="1:3" x14ac:dyDescent="0.25">
      <c r="A5570" s="8"/>
      <c r="B5570" s="9"/>
      <c r="C5570" s="8"/>
    </row>
    <row r="5571" spans="1:3" x14ac:dyDescent="0.25">
      <c r="A5571" s="8"/>
      <c r="B5571" s="9"/>
      <c r="C5571" s="8"/>
    </row>
    <row r="5572" spans="1:3" x14ac:dyDescent="0.25">
      <c r="A5572" s="8"/>
      <c r="B5572" s="9"/>
      <c r="C5572" s="8"/>
    </row>
    <row r="5573" spans="1:3" x14ac:dyDescent="0.25">
      <c r="A5573" s="8"/>
      <c r="B5573" s="9"/>
      <c r="C5573" s="8"/>
    </row>
    <row r="5574" spans="1:3" x14ac:dyDescent="0.25">
      <c r="A5574" s="8"/>
      <c r="B5574" s="9"/>
      <c r="C5574" s="8"/>
    </row>
    <row r="5575" spans="1:3" x14ac:dyDescent="0.25">
      <c r="A5575" s="8"/>
      <c r="B5575" s="9"/>
      <c r="C5575" s="8"/>
    </row>
    <row r="5576" spans="1:3" x14ac:dyDescent="0.25">
      <c r="A5576" s="8"/>
      <c r="B5576" s="9"/>
      <c r="C5576" s="8"/>
    </row>
    <row r="5577" spans="1:3" x14ac:dyDescent="0.25">
      <c r="A5577" s="8"/>
      <c r="B5577" s="9"/>
      <c r="C5577" s="8"/>
    </row>
    <row r="5578" spans="1:3" x14ac:dyDescent="0.25">
      <c r="A5578" s="8"/>
      <c r="B5578" s="9"/>
      <c r="C5578" s="8"/>
    </row>
    <row r="5579" spans="1:3" x14ac:dyDescent="0.25">
      <c r="A5579" s="8"/>
      <c r="B5579" s="9"/>
      <c r="C5579" s="8"/>
    </row>
    <row r="5580" spans="1:3" x14ac:dyDescent="0.25">
      <c r="A5580" s="8"/>
      <c r="B5580" s="9"/>
      <c r="C5580" s="8"/>
    </row>
    <row r="5581" spans="1:3" x14ac:dyDescent="0.25">
      <c r="A5581" s="8"/>
      <c r="B5581" s="9"/>
      <c r="C5581" s="8"/>
    </row>
    <row r="5582" spans="1:3" x14ac:dyDescent="0.25">
      <c r="A5582" s="8"/>
      <c r="B5582" s="9"/>
      <c r="C5582" s="8"/>
    </row>
    <row r="5583" spans="1:3" x14ac:dyDescent="0.25">
      <c r="A5583" s="8"/>
      <c r="B5583" s="9"/>
      <c r="C5583" s="8"/>
    </row>
    <row r="5584" spans="1:3" x14ac:dyDescent="0.25">
      <c r="A5584" s="8"/>
      <c r="B5584" s="9"/>
      <c r="C5584" s="8"/>
    </row>
    <row r="5585" spans="1:3" x14ac:dyDescent="0.25">
      <c r="A5585" s="8"/>
      <c r="B5585" s="9"/>
      <c r="C5585" s="8"/>
    </row>
    <row r="5586" spans="1:3" x14ac:dyDescent="0.25">
      <c r="A5586" s="8"/>
      <c r="B5586" s="9"/>
      <c r="C5586" s="8"/>
    </row>
    <row r="5587" spans="1:3" x14ac:dyDescent="0.25">
      <c r="A5587" s="8"/>
      <c r="B5587" s="9"/>
      <c r="C5587" s="8"/>
    </row>
    <row r="5588" spans="1:3" x14ac:dyDescent="0.25">
      <c r="A5588" s="8"/>
      <c r="B5588" s="9"/>
      <c r="C5588" s="8"/>
    </row>
    <row r="5589" spans="1:3" x14ac:dyDescent="0.25">
      <c r="A5589" s="8"/>
      <c r="B5589" s="9"/>
      <c r="C5589" s="8"/>
    </row>
    <row r="5590" spans="1:3" x14ac:dyDescent="0.25">
      <c r="A5590" s="8"/>
      <c r="B5590" s="9"/>
      <c r="C5590" s="8"/>
    </row>
    <row r="5591" spans="1:3" x14ac:dyDescent="0.25">
      <c r="A5591" s="8"/>
      <c r="B5591" s="9"/>
      <c r="C5591" s="8"/>
    </row>
    <row r="5592" spans="1:3" x14ac:dyDescent="0.25">
      <c r="A5592" s="8"/>
      <c r="B5592" s="9"/>
      <c r="C5592" s="8"/>
    </row>
    <row r="5593" spans="1:3" x14ac:dyDescent="0.25">
      <c r="A5593" s="8"/>
      <c r="B5593" s="9"/>
      <c r="C5593" s="8"/>
    </row>
    <row r="5594" spans="1:3" x14ac:dyDescent="0.25">
      <c r="A5594" s="8"/>
      <c r="B5594" s="9"/>
      <c r="C5594" s="8"/>
    </row>
    <row r="5595" spans="1:3" x14ac:dyDescent="0.25">
      <c r="A5595" s="8"/>
      <c r="B5595" s="9"/>
      <c r="C5595" s="8"/>
    </row>
    <row r="5596" spans="1:3" x14ac:dyDescent="0.25">
      <c r="A5596" s="8"/>
      <c r="B5596" s="9"/>
      <c r="C5596" s="8"/>
    </row>
    <row r="5597" spans="1:3" x14ac:dyDescent="0.25">
      <c r="A5597" s="8"/>
      <c r="B5597" s="9"/>
      <c r="C5597" s="8"/>
    </row>
    <row r="5598" spans="1:3" x14ac:dyDescent="0.25">
      <c r="A5598" s="8"/>
      <c r="B5598" s="9"/>
      <c r="C5598" s="8"/>
    </row>
    <row r="5599" spans="1:3" x14ac:dyDescent="0.25">
      <c r="A5599" s="8"/>
      <c r="B5599" s="9"/>
      <c r="C5599" s="8"/>
    </row>
    <row r="5600" spans="1:3" x14ac:dyDescent="0.25">
      <c r="A5600" s="8"/>
      <c r="B5600" s="9"/>
      <c r="C5600" s="8"/>
    </row>
    <row r="5601" spans="1:3" x14ac:dyDescent="0.25">
      <c r="A5601" s="8"/>
      <c r="B5601" s="9"/>
      <c r="C5601" s="8"/>
    </row>
    <row r="5602" spans="1:3" x14ac:dyDescent="0.25">
      <c r="A5602" s="8"/>
      <c r="B5602" s="9"/>
      <c r="C5602" s="8"/>
    </row>
    <row r="5603" spans="1:3" x14ac:dyDescent="0.25">
      <c r="A5603" s="8"/>
      <c r="B5603" s="9"/>
      <c r="C5603" s="8"/>
    </row>
    <row r="5604" spans="1:3" x14ac:dyDescent="0.25">
      <c r="A5604" s="8"/>
      <c r="B5604" s="9"/>
      <c r="C5604" s="8"/>
    </row>
    <row r="5605" spans="1:3" x14ac:dyDescent="0.25">
      <c r="A5605" s="8"/>
      <c r="B5605" s="9"/>
      <c r="C5605" s="8"/>
    </row>
    <row r="5606" spans="1:3" x14ac:dyDescent="0.25">
      <c r="A5606" s="8"/>
      <c r="B5606" s="9"/>
      <c r="C5606" s="8"/>
    </row>
    <row r="5607" spans="1:3" x14ac:dyDescent="0.25">
      <c r="A5607" s="8"/>
      <c r="B5607" s="9"/>
      <c r="C5607" s="8"/>
    </row>
    <row r="5608" spans="1:3" x14ac:dyDescent="0.25">
      <c r="A5608" s="8"/>
      <c r="B5608" s="9"/>
      <c r="C5608" s="8"/>
    </row>
    <row r="5609" spans="1:3" x14ac:dyDescent="0.25">
      <c r="A5609" s="8"/>
      <c r="B5609" s="9"/>
      <c r="C5609" s="8"/>
    </row>
    <row r="5610" spans="1:3" x14ac:dyDescent="0.25">
      <c r="A5610" s="8"/>
      <c r="B5610" s="9"/>
      <c r="C5610" s="8"/>
    </row>
    <row r="5611" spans="1:3" x14ac:dyDescent="0.25">
      <c r="A5611" s="8"/>
      <c r="B5611" s="9"/>
      <c r="C5611" s="8"/>
    </row>
    <row r="5612" spans="1:3" x14ac:dyDescent="0.25">
      <c r="A5612" s="8"/>
      <c r="B5612" s="9"/>
      <c r="C5612" s="8"/>
    </row>
    <row r="5613" spans="1:3" x14ac:dyDescent="0.25">
      <c r="A5613" s="8"/>
      <c r="B5613" s="9"/>
      <c r="C5613" s="8"/>
    </row>
    <row r="5614" spans="1:3" x14ac:dyDescent="0.25">
      <c r="A5614" s="8"/>
      <c r="B5614" s="9"/>
      <c r="C5614" s="8"/>
    </row>
    <row r="5615" spans="1:3" x14ac:dyDescent="0.25">
      <c r="A5615" s="8"/>
      <c r="B5615" s="9"/>
      <c r="C5615" s="8"/>
    </row>
    <row r="5616" spans="1:3" x14ac:dyDescent="0.25">
      <c r="A5616" s="8"/>
      <c r="B5616" s="9"/>
      <c r="C5616" s="8"/>
    </row>
    <row r="5617" spans="1:3" x14ac:dyDescent="0.25">
      <c r="A5617" s="8"/>
      <c r="B5617" s="9"/>
      <c r="C5617" s="8"/>
    </row>
    <row r="5618" spans="1:3" x14ac:dyDescent="0.25">
      <c r="A5618" s="8"/>
      <c r="B5618" s="9"/>
      <c r="C5618" s="8"/>
    </row>
    <row r="5619" spans="1:3" x14ac:dyDescent="0.25">
      <c r="A5619" s="8"/>
      <c r="B5619" s="9"/>
      <c r="C5619" s="8"/>
    </row>
    <row r="5620" spans="1:3" x14ac:dyDescent="0.25">
      <c r="A5620" s="8"/>
      <c r="B5620" s="9"/>
      <c r="C5620" s="8"/>
    </row>
    <row r="5621" spans="1:3" x14ac:dyDescent="0.25">
      <c r="A5621" s="8"/>
      <c r="B5621" s="9"/>
      <c r="C5621" s="8"/>
    </row>
    <row r="5622" spans="1:3" x14ac:dyDescent="0.25">
      <c r="A5622" s="8"/>
      <c r="B5622" s="9"/>
      <c r="C5622" s="8"/>
    </row>
    <row r="5623" spans="1:3" x14ac:dyDescent="0.25">
      <c r="A5623" s="8"/>
      <c r="B5623" s="9"/>
      <c r="C5623" s="8"/>
    </row>
    <row r="5624" spans="1:3" x14ac:dyDescent="0.25">
      <c r="A5624" s="8"/>
      <c r="B5624" s="9"/>
      <c r="C5624" s="8"/>
    </row>
    <row r="5625" spans="1:3" x14ac:dyDescent="0.25">
      <c r="A5625" s="8"/>
      <c r="B5625" s="9"/>
      <c r="C5625" s="8"/>
    </row>
    <row r="5626" spans="1:3" x14ac:dyDescent="0.25">
      <c r="A5626" s="8"/>
      <c r="B5626" s="9"/>
      <c r="C5626" s="8"/>
    </row>
    <row r="5627" spans="1:3" x14ac:dyDescent="0.25">
      <c r="A5627" s="8"/>
      <c r="B5627" s="9"/>
      <c r="C5627" s="8"/>
    </row>
    <row r="5628" spans="1:3" x14ac:dyDescent="0.25">
      <c r="A5628" s="8"/>
      <c r="B5628" s="9"/>
      <c r="C5628" s="8"/>
    </row>
    <row r="5629" spans="1:3" x14ac:dyDescent="0.25">
      <c r="A5629" s="8"/>
      <c r="B5629" s="9"/>
      <c r="C5629" s="8"/>
    </row>
    <row r="5630" spans="1:3" x14ac:dyDescent="0.25">
      <c r="A5630" s="8"/>
      <c r="B5630" s="9"/>
      <c r="C5630" s="8"/>
    </row>
    <row r="5631" spans="1:3" x14ac:dyDescent="0.25">
      <c r="A5631" s="8"/>
      <c r="B5631" s="9"/>
      <c r="C5631" s="8"/>
    </row>
    <row r="5632" spans="1:3" x14ac:dyDescent="0.25">
      <c r="A5632" s="8"/>
      <c r="B5632" s="9"/>
      <c r="C5632" s="8"/>
    </row>
    <row r="5633" spans="1:3" x14ac:dyDescent="0.25">
      <c r="A5633" s="8"/>
      <c r="B5633" s="9"/>
      <c r="C5633" s="8"/>
    </row>
    <row r="5634" spans="1:3" x14ac:dyDescent="0.25">
      <c r="A5634" s="8"/>
      <c r="B5634" s="9"/>
      <c r="C5634" s="8"/>
    </row>
    <row r="5635" spans="1:3" x14ac:dyDescent="0.25">
      <c r="A5635" s="8"/>
      <c r="B5635" s="9"/>
      <c r="C5635" s="8"/>
    </row>
    <row r="5636" spans="1:3" x14ac:dyDescent="0.25">
      <c r="A5636" s="8"/>
      <c r="B5636" s="9"/>
      <c r="C5636" s="8"/>
    </row>
    <row r="5637" spans="1:3" x14ac:dyDescent="0.25">
      <c r="A5637" s="8"/>
      <c r="B5637" s="9"/>
      <c r="C5637" s="8"/>
    </row>
    <row r="5638" spans="1:3" x14ac:dyDescent="0.25">
      <c r="A5638" s="8"/>
      <c r="B5638" s="9"/>
      <c r="C5638" s="8"/>
    </row>
    <row r="5639" spans="1:3" x14ac:dyDescent="0.25">
      <c r="A5639" s="8"/>
      <c r="B5639" s="9"/>
      <c r="C5639" s="8"/>
    </row>
    <row r="5640" spans="1:3" x14ac:dyDescent="0.25">
      <c r="A5640" s="8"/>
      <c r="B5640" s="9"/>
      <c r="C5640" s="8"/>
    </row>
    <row r="5641" spans="1:3" x14ac:dyDescent="0.25">
      <c r="A5641" s="8"/>
      <c r="B5641" s="9"/>
      <c r="C5641" s="8"/>
    </row>
    <row r="5642" spans="1:3" x14ac:dyDescent="0.25">
      <c r="A5642" s="8"/>
      <c r="B5642" s="9"/>
      <c r="C5642" s="8"/>
    </row>
    <row r="5643" spans="1:3" x14ac:dyDescent="0.25">
      <c r="A5643" s="8"/>
      <c r="B5643" s="9"/>
      <c r="C5643" s="8"/>
    </row>
    <row r="5644" spans="1:3" x14ac:dyDescent="0.25">
      <c r="A5644" s="8"/>
      <c r="B5644" s="9"/>
      <c r="C5644" s="8"/>
    </row>
    <row r="5645" spans="1:3" x14ac:dyDescent="0.25">
      <c r="A5645" s="8"/>
      <c r="B5645" s="9"/>
      <c r="C5645" s="8"/>
    </row>
    <row r="5646" spans="1:3" x14ac:dyDescent="0.25">
      <c r="A5646" s="8"/>
      <c r="B5646" s="9"/>
      <c r="C5646" s="8"/>
    </row>
    <row r="5647" spans="1:3" x14ac:dyDescent="0.25">
      <c r="A5647" s="8"/>
      <c r="B5647" s="9"/>
      <c r="C5647" s="8"/>
    </row>
    <row r="5648" spans="1:3" x14ac:dyDescent="0.25">
      <c r="A5648" s="8"/>
      <c r="B5648" s="9"/>
      <c r="C5648" s="8"/>
    </row>
    <row r="5649" spans="1:3" x14ac:dyDescent="0.25">
      <c r="A5649" s="8"/>
      <c r="B5649" s="9"/>
      <c r="C5649" s="8"/>
    </row>
    <row r="5650" spans="1:3" x14ac:dyDescent="0.25">
      <c r="A5650" s="8"/>
      <c r="B5650" s="9"/>
      <c r="C5650" s="8"/>
    </row>
    <row r="5651" spans="1:3" x14ac:dyDescent="0.25">
      <c r="A5651" s="8"/>
      <c r="B5651" s="9"/>
      <c r="C5651" s="8"/>
    </row>
    <row r="5652" spans="1:3" x14ac:dyDescent="0.25">
      <c r="A5652" s="8"/>
      <c r="B5652" s="9"/>
      <c r="C5652" s="8"/>
    </row>
    <row r="5653" spans="1:3" x14ac:dyDescent="0.25">
      <c r="A5653" s="8"/>
      <c r="B5653" s="9"/>
      <c r="C5653" s="8"/>
    </row>
    <row r="5654" spans="1:3" x14ac:dyDescent="0.25">
      <c r="A5654" s="8"/>
      <c r="B5654" s="9"/>
      <c r="C5654" s="8"/>
    </row>
    <row r="5655" spans="1:3" x14ac:dyDescent="0.25">
      <c r="A5655" s="8"/>
      <c r="B5655" s="9"/>
      <c r="C5655" s="8"/>
    </row>
    <row r="5656" spans="1:3" x14ac:dyDescent="0.25">
      <c r="A5656" s="8"/>
      <c r="B5656" s="9"/>
      <c r="C5656" s="8"/>
    </row>
    <row r="5657" spans="1:3" x14ac:dyDescent="0.25">
      <c r="A5657" s="8"/>
      <c r="B5657" s="9"/>
      <c r="C5657" s="8"/>
    </row>
    <row r="5658" spans="1:3" x14ac:dyDescent="0.25">
      <c r="A5658" s="8"/>
      <c r="B5658" s="9"/>
      <c r="C5658" s="8"/>
    </row>
    <row r="5659" spans="1:3" x14ac:dyDescent="0.25">
      <c r="A5659" s="8"/>
      <c r="B5659" s="9"/>
      <c r="C5659" s="8"/>
    </row>
    <row r="5660" spans="1:3" x14ac:dyDescent="0.25">
      <c r="A5660" s="8"/>
      <c r="B5660" s="9"/>
      <c r="C5660" s="8"/>
    </row>
    <row r="5661" spans="1:3" x14ac:dyDescent="0.25">
      <c r="A5661" s="8"/>
      <c r="B5661" s="9"/>
      <c r="C5661" s="8"/>
    </row>
    <row r="5662" spans="1:3" x14ac:dyDescent="0.25">
      <c r="A5662" s="8"/>
      <c r="B5662" s="9"/>
      <c r="C5662" s="8"/>
    </row>
    <row r="5663" spans="1:3" x14ac:dyDescent="0.25">
      <c r="A5663" s="8"/>
      <c r="B5663" s="9"/>
      <c r="C5663" s="8"/>
    </row>
    <row r="5664" spans="1:3" x14ac:dyDescent="0.25">
      <c r="A5664" s="8"/>
      <c r="B5664" s="9"/>
      <c r="C5664" s="8"/>
    </row>
    <row r="5665" spans="1:3" x14ac:dyDescent="0.25">
      <c r="A5665" s="8"/>
      <c r="B5665" s="9"/>
      <c r="C5665" s="8"/>
    </row>
    <row r="5666" spans="1:3" x14ac:dyDescent="0.25">
      <c r="A5666" s="8"/>
      <c r="B5666" s="9"/>
      <c r="C5666" s="8"/>
    </row>
    <row r="5667" spans="1:3" x14ac:dyDescent="0.25">
      <c r="A5667" s="8"/>
      <c r="B5667" s="9"/>
      <c r="C5667" s="8"/>
    </row>
    <row r="5668" spans="1:3" x14ac:dyDescent="0.25">
      <c r="A5668" s="8"/>
      <c r="B5668" s="9"/>
      <c r="C5668" s="8"/>
    </row>
    <row r="5669" spans="1:3" x14ac:dyDescent="0.25">
      <c r="A5669" s="8"/>
      <c r="B5669" s="9"/>
      <c r="C5669" s="8"/>
    </row>
    <row r="5670" spans="1:3" x14ac:dyDescent="0.25">
      <c r="A5670" s="8"/>
      <c r="B5670" s="9"/>
      <c r="C5670" s="8"/>
    </row>
    <row r="5671" spans="1:3" x14ac:dyDescent="0.25">
      <c r="A5671" s="8"/>
      <c r="B5671" s="9"/>
      <c r="C5671" s="8"/>
    </row>
    <row r="5672" spans="1:3" x14ac:dyDescent="0.25">
      <c r="A5672" s="8"/>
      <c r="B5672" s="9"/>
      <c r="C5672" s="8"/>
    </row>
    <row r="5673" spans="1:3" x14ac:dyDescent="0.25">
      <c r="A5673" s="8"/>
      <c r="B5673" s="9"/>
      <c r="C5673" s="8"/>
    </row>
    <row r="5674" spans="1:3" x14ac:dyDescent="0.25">
      <c r="A5674" s="8"/>
      <c r="B5674" s="9"/>
      <c r="C5674" s="8"/>
    </row>
    <row r="5675" spans="1:3" x14ac:dyDescent="0.25">
      <c r="A5675" s="8"/>
      <c r="B5675" s="9"/>
      <c r="C5675" s="8"/>
    </row>
    <row r="5676" spans="1:3" x14ac:dyDescent="0.25">
      <c r="A5676" s="8"/>
      <c r="B5676" s="9"/>
      <c r="C5676" s="8"/>
    </row>
    <row r="5677" spans="1:3" x14ac:dyDescent="0.25">
      <c r="A5677" s="8"/>
      <c r="B5677" s="9"/>
      <c r="C5677" s="8"/>
    </row>
    <row r="5678" spans="1:3" x14ac:dyDescent="0.25">
      <c r="A5678" s="8"/>
      <c r="B5678" s="9"/>
      <c r="C5678" s="8"/>
    </row>
    <row r="5679" spans="1:3" x14ac:dyDescent="0.25">
      <c r="A5679" s="8"/>
      <c r="B5679" s="9"/>
      <c r="C5679" s="8"/>
    </row>
    <row r="5680" spans="1:3" x14ac:dyDescent="0.25">
      <c r="A5680" s="8"/>
      <c r="B5680" s="9"/>
      <c r="C5680" s="8"/>
    </row>
    <row r="5681" spans="1:3" x14ac:dyDescent="0.25">
      <c r="A5681" s="8"/>
      <c r="B5681" s="9"/>
      <c r="C5681" s="8"/>
    </row>
    <row r="5682" spans="1:3" x14ac:dyDescent="0.25">
      <c r="A5682" s="8"/>
      <c r="B5682" s="9"/>
      <c r="C5682" s="8"/>
    </row>
    <row r="5683" spans="1:3" x14ac:dyDescent="0.25">
      <c r="A5683" s="8"/>
      <c r="B5683" s="9"/>
      <c r="C5683" s="8"/>
    </row>
    <row r="5684" spans="1:3" x14ac:dyDescent="0.25">
      <c r="A5684" s="8"/>
      <c r="B5684" s="9"/>
      <c r="C5684" s="8"/>
    </row>
    <row r="5685" spans="1:3" x14ac:dyDescent="0.25">
      <c r="A5685" s="8"/>
      <c r="B5685" s="9"/>
      <c r="C5685" s="8"/>
    </row>
    <row r="5686" spans="1:3" x14ac:dyDescent="0.25">
      <c r="A5686" s="8"/>
      <c r="B5686" s="9"/>
      <c r="C5686" s="8"/>
    </row>
    <row r="5687" spans="1:3" x14ac:dyDescent="0.25">
      <c r="A5687" s="8"/>
      <c r="B5687" s="9"/>
      <c r="C5687" s="8"/>
    </row>
    <row r="5688" spans="1:3" x14ac:dyDescent="0.25">
      <c r="A5688" s="8"/>
      <c r="B5688" s="9"/>
      <c r="C5688" s="8"/>
    </row>
    <row r="5689" spans="1:3" x14ac:dyDescent="0.25">
      <c r="A5689" s="8"/>
      <c r="B5689" s="9"/>
      <c r="C5689" s="8"/>
    </row>
    <row r="5690" spans="1:3" x14ac:dyDescent="0.25">
      <c r="A5690" s="8"/>
      <c r="B5690" s="9"/>
      <c r="C5690" s="8"/>
    </row>
    <row r="5691" spans="1:3" x14ac:dyDescent="0.25">
      <c r="A5691" s="8"/>
      <c r="B5691" s="9"/>
      <c r="C5691" s="8"/>
    </row>
    <row r="5692" spans="1:3" x14ac:dyDescent="0.25">
      <c r="A5692" s="8"/>
      <c r="B5692" s="9"/>
      <c r="C5692" s="8"/>
    </row>
    <row r="5693" spans="1:3" x14ac:dyDescent="0.25">
      <c r="A5693" s="8"/>
      <c r="B5693" s="9"/>
      <c r="C5693" s="8"/>
    </row>
    <row r="5694" spans="1:3" x14ac:dyDescent="0.25">
      <c r="A5694" s="8"/>
      <c r="B5694" s="9"/>
      <c r="C5694" s="8"/>
    </row>
    <row r="5695" spans="1:3" x14ac:dyDescent="0.25">
      <c r="A5695" s="8"/>
      <c r="B5695" s="9"/>
      <c r="C5695" s="8"/>
    </row>
    <row r="5696" spans="1:3" x14ac:dyDescent="0.25">
      <c r="A5696" s="8"/>
      <c r="B5696" s="9"/>
      <c r="C5696" s="8"/>
    </row>
    <row r="5697" spans="1:3" x14ac:dyDescent="0.25">
      <c r="A5697" s="8"/>
      <c r="B5697" s="9"/>
      <c r="C5697" s="8"/>
    </row>
    <row r="5698" spans="1:3" x14ac:dyDescent="0.25">
      <c r="A5698" s="8"/>
      <c r="B5698" s="9"/>
      <c r="C5698" s="8"/>
    </row>
    <row r="5699" spans="1:3" x14ac:dyDescent="0.25">
      <c r="A5699" s="8"/>
      <c r="B5699" s="9"/>
      <c r="C5699" s="8"/>
    </row>
    <row r="5700" spans="1:3" x14ac:dyDescent="0.25">
      <c r="A5700" s="8"/>
      <c r="B5700" s="9"/>
      <c r="C5700" s="8"/>
    </row>
    <row r="5701" spans="1:3" x14ac:dyDescent="0.25">
      <c r="A5701" s="8"/>
      <c r="B5701" s="9"/>
      <c r="C5701" s="8"/>
    </row>
    <row r="5702" spans="1:3" x14ac:dyDescent="0.25">
      <c r="A5702" s="8"/>
      <c r="B5702" s="9"/>
      <c r="C5702" s="8"/>
    </row>
    <row r="5703" spans="1:3" x14ac:dyDescent="0.25">
      <c r="A5703" s="8"/>
      <c r="B5703" s="9"/>
      <c r="C5703" s="8"/>
    </row>
    <row r="5704" spans="1:3" x14ac:dyDescent="0.25">
      <c r="A5704" s="8"/>
      <c r="B5704" s="9"/>
      <c r="C5704" s="8"/>
    </row>
    <row r="5705" spans="1:3" x14ac:dyDescent="0.25">
      <c r="A5705" s="8"/>
      <c r="B5705" s="9"/>
      <c r="C5705" s="8"/>
    </row>
    <row r="5706" spans="1:3" x14ac:dyDescent="0.25">
      <c r="A5706" s="8"/>
      <c r="B5706" s="9"/>
      <c r="C5706" s="8"/>
    </row>
    <row r="5707" spans="1:3" x14ac:dyDescent="0.25">
      <c r="A5707" s="8"/>
      <c r="B5707" s="9"/>
      <c r="C5707" s="8"/>
    </row>
    <row r="5708" spans="1:3" x14ac:dyDescent="0.25">
      <c r="A5708" s="8"/>
      <c r="B5708" s="9"/>
      <c r="C5708" s="8"/>
    </row>
    <row r="5709" spans="1:3" x14ac:dyDescent="0.25">
      <c r="A5709" s="8"/>
      <c r="B5709" s="9"/>
      <c r="C5709" s="8"/>
    </row>
    <row r="5710" spans="1:3" x14ac:dyDescent="0.25">
      <c r="A5710" s="8"/>
      <c r="B5710" s="9"/>
      <c r="C5710" s="8"/>
    </row>
    <row r="5711" spans="1:3" x14ac:dyDescent="0.25">
      <c r="A5711" s="8"/>
      <c r="B5711" s="9"/>
      <c r="C5711" s="8"/>
    </row>
    <row r="5712" spans="1:3" x14ac:dyDescent="0.25">
      <c r="A5712" s="8"/>
      <c r="B5712" s="9"/>
      <c r="C5712" s="8"/>
    </row>
    <row r="5713" spans="1:3" x14ac:dyDescent="0.25">
      <c r="A5713" s="8"/>
      <c r="B5713" s="9"/>
      <c r="C5713" s="8"/>
    </row>
    <row r="5714" spans="1:3" x14ac:dyDescent="0.25">
      <c r="A5714" s="8"/>
      <c r="B5714" s="9"/>
      <c r="C5714" s="8"/>
    </row>
    <row r="5715" spans="1:3" x14ac:dyDescent="0.25">
      <c r="A5715" s="8"/>
      <c r="B5715" s="9"/>
      <c r="C5715" s="8"/>
    </row>
    <row r="5716" spans="1:3" x14ac:dyDescent="0.25">
      <c r="A5716" s="8"/>
      <c r="B5716" s="9"/>
      <c r="C5716" s="8"/>
    </row>
    <row r="5717" spans="1:3" x14ac:dyDescent="0.25">
      <c r="A5717" s="8"/>
      <c r="B5717" s="9"/>
      <c r="C5717" s="8"/>
    </row>
    <row r="5718" spans="1:3" x14ac:dyDescent="0.25">
      <c r="A5718" s="8"/>
      <c r="B5718" s="9"/>
      <c r="C5718" s="8"/>
    </row>
    <row r="5719" spans="1:3" x14ac:dyDescent="0.25">
      <c r="A5719" s="8"/>
      <c r="B5719" s="9"/>
      <c r="C5719" s="8"/>
    </row>
    <row r="5720" spans="1:3" x14ac:dyDescent="0.25">
      <c r="A5720" s="8"/>
      <c r="B5720" s="9"/>
      <c r="C5720" s="8"/>
    </row>
    <row r="5721" spans="1:3" x14ac:dyDescent="0.25">
      <c r="A5721" s="8"/>
      <c r="B5721" s="9"/>
      <c r="C5721" s="8"/>
    </row>
    <row r="5722" spans="1:3" x14ac:dyDescent="0.25">
      <c r="A5722" s="8"/>
      <c r="B5722" s="9"/>
      <c r="C5722" s="8"/>
    </row>
    <row r="5723" spans="1:3" x14ac:dyDescent="0.25">
      <c r="A5723" s="8"/>
      <c r="B5723" s="9"/>
      <c r="C5723" s="8"/>
    </row>
    <row r="5724" spans="1:3" x14ac:dyDescent="0.25">
      <c r="A5724" s="8"/>
      <c r="B5724" s="9"/>
      <c r="C5724" s="8"/>
    </row>
    <row r="5725" spans="1:3" x14ac:dyDescent="0.25">
      <c r="A5725" s="8"/>
      <c r="B5725" s="9"/>
      <c r="C5725" s="8"/>
    </row>
    <row r="5726" spans="1:3" x14ac:dyDescent="0.25">
      <c r="A5726" s="8"/>
      <c r="B5726" s="9"/>
      <c r="C5726" s="8"/>
    </row>
    <row r="5727" spans="1:3" x14ac:dyDescent="0.25">
      <c r="A5727" s="8"/>
      <c r="B5727" s="9"/>
      <c r="C5727" s="8"/>
    </row>
    <row r="5728" spans="1:3" x14ac:dyDescent="0.25">
      <c r="A5728" s="8"/>
      <c r="B5728" s="9"/>
      <c r="C5728" s="8"/>
    </row>
    <row r="5729" spans="1:3" x14ac:dyDescent="0.25">
      <c r="A5729" s="8"/>
      <c r="B5729" s="9"/>
      <c r="C5729" s="8"/>
    </row>
    <row r="5730" spans="1:3" x14ac:dyDescent="0.25">
      <c r="A5730" s="8"/>
      <c r="B5730" s="9"/>
      <c r="C5730" s="8"/>
    </row>
    <row r="5731" spans="1:3" x14ac:dyDescent="0.25">
      <c r="A5731" s="8"/>
      <c r="B5731" s="9"/>
      <c r="C5731" s="8"/>
    </row>
    <row r="5732" spans="1:3" x14ac:dyDescent="0.25">
      <c r="A5732" s="8"/>
      <c r="B5732" s="9"/>
      <c r="C5732" s="8"/>
    </row>
    <row r="5733" spans="1:3" x14ac:dyDescent="0.25">
      <c r="A5733" s="8"/>
      <c r="B5733" s="9"/>
      <c r="C5733" s="8"/>
    </row>
    <row r="5734" spans="1:3" x14ac:dyDescent="0.25">
      <c r="A5734" s="8"/>
      <c r="B5734" s="9"/>
      <c r="C5734" s="8"/>
    </row>
    <row r="5735" spans="1:3" x14ac:dyDescent="0.25">
      <c r="A5735" s="8"/>
      <c r="B5735" s="9"/>
      <c r="C5735" s="8"/>
    </row>
    <row r="5736" spans="1:3" x14ac:dyDescent="0.25">
      <c r="A5736" s="8"/>
      <c r="B5736" s="9"/>
      <c r="C5736" s="8"/>
    </row>
    <row r="5737" spans="1:3" x14ac:dyDescent="0.25">
      <c r="A5737" s="8"/>
      <c r="B5737" s="9"/>
      <c r="C5737" s="8"/>
    </row>
    <row r="5738" spans="1:3" x14ac:dyDescent="0.25">
      <c r="A5738" s="8"/>
      <c r="B5738" s="9"/>
      <c r="C5738" s="8"/>
    </row>
    <row r="5739" spans="1:3" x14ac:dyDescent="0.25">
      <c r="A5739" s="8"/>
      <c r="B5739" s="9"/>
      <c r="C5739" s="8"/>
    </row>
    <row r="5740" spans="1:3" x14ac:dyDescent="0.25">
      <c r="A5740" s="8"/>
      <c r="B5740" s="9"/>
      <c r="C5740" s="8"/>
    </row>
    <row r="5741" spans="1:3" x14ac:dyDescent="0.25">
      <c r="A5741" s="8"/>
      <c r="B5741" s="9"/>
      <c r="C5741" s="8"/>
    </row>
    <row r="5742" spans="1:3" x14ac:dyDescent="0.25">
      <c r="A5742" s="8"/>
      <c r="B5742" s="9"/>
      <c r="C5742" s="8"/>
    </row>
    <row r="5743" spans="1:3" x14ac:dyDescent="0.25">
      <c r="A5743" s="8"/>
      <c r="B5743" s="9"/>
      <c r="C5743" s="8"/>
    </row>
    <row r="5744" spans="1:3" x14ac:dyDescent="0.25">
      <c r="A5744" s="8"/>
      <c r="B5744" s="9"/>
      <c r="C5744" s="8"/>
    </row>
    <row r="5745" spans="1:3" x14ac:dyDescent="0.25">
      <c r="A5745" s="8"/>
      <c r="B5745" s="9"/>
      <c r="C5745" s="8"/>
    </row>
    <row r="5746" spans="1:3" x14ac:dyDescent="0.25">
      <c r="A5746" s="8"/>
      <c r="B5746" s="9"/>
      <c r="C5746" s="8"/>
    </row>
    <row r="5747" spans="1:3" x14ac:dyDescent="0.25">
      <c r="A5747" s="8"/>
      <c r="B5747" s="9"/>
      <c r="C5747" s="8"/>
    </row>
    <row r="5748" spans="1:3" x14ac:dyDescent="0.25">
      <c r="A5748" s="8"/>
      <c r="B5748" s="9"/>
      <c r="C5748" s="8"/>
    </row>
    <row r="5749" spans="1:3" x14ac:dyDescent="0.25">
      <c r="A5749" s="8"/>
      <c r="B5749" s="9"/>
      <c r="C5749" s="8"/>
    </row>
    <row r="5750" spans="1:3" x14ac:dyDescent="0.25">
      <c r="A5750" s="8"/>
      <c r="B5750" s="9"/>
      <c r="C5750" s="8"/>
    </row>
    <row r="5751" spans="1:3" x14ac:dyDescent="0.25">
      <c r="A5751" s="8"/>
      <c r="B5751" s="9"/>
      <c r="C5751" s="8"/>
    </row>
    <row r="5752" spans="1:3" x14ac:dyDescent="0.25">
      <c r="A5752" s="8"/>
      <c r="B5752" s="9"/>
      <c r="C5752" s="8"/>
    </row>
    <row r="5753" spans="1:3" x14ac:dyDescent="0.25">
      <c r="A5753" s="8"/>
      <c r="B5753" s="9"/>
      <c r="C5753" s="8"/>
    </row>
    <row r="5754" spans="1:3" x14ac:dyDescent="0.25">
      <c r="A5754" s="8"/>
      <c r="B5754" s="9"/>
      <c r="C5754" s="8"/>
    </row>
    <row r="5755" spans="1:3" x14ac:dyDescent="0.25">
      <c r="A5755" s="8"/>
      <c r="B5755" s="9"/>
      <c r="C5755" s="8"/>
    </row>
    <row r="5756" spans="1:3" x14ac:dyDescent="0.25">
      <c r="A5756" s="8"/>
      <c r="B5756" s="9"/>
      <c r="C5756" s="8"/>
    </row>
    <row r="5757" spans="1:3" x14ac:dyDescent="0.25">
      <c r="A5757" s="8"/>
      <c r="B5757" s="9"/>
      <c r="C5757" s="8"/>
    </row>
    <row r="5758" spans="1:3" x14ac:dyDescent="0.25">
      <c r="A5758" s="8"/>
      <c r="B5758" s="9"/>
      <c r="C5758" s="8"/>
    </row>
    <row r="5759" spans="1:3" x14ac:dyDescent="0.25">
      <c r="A5759" s="8"/>
      <c r="B5759" s="9"/>
      <c r="C5759" s="8"/>
    </row>
    <row r="5760" spans="1:3" x14ac:dyDescent="0.25">
      <c r="A5760" s="8"/>
      <c r="B5760" s="9"/>
      <c r="C5760" s="8"/>
    </row>
    <row r="5761" spans="1:3" x14ac:dyDescent="0.25">
      <c r="A5761" s="8"/>
      <c r="B5761" s="9"/>
      <c r="C5761" s="8"/>
    </row>
    <row r="5762" spans="1:3" x14ac:dyDescent="0.25">
      <c r="A5762" s="8"/>
      <c r="B5762" s="9"/>
      <c r="C5762" s="8"/>
    </row>
    <row r="5763" spans="1:3" x14ac:dyDescent="0.25">
      <c r="A5763" s="8"/>
      <c r="B5763" s="9"/>
      <c r="C5763" s="8"/>
    </row>
    <row r="5764" spans="1:3" x14ac:dyDescent="0.25">
      <c r="A5764" s="8"/>
      <c r="B5764" s="9"/>
      <c r="C5764" s="8"/>
    </row>
    <row r="5765" spans="1:3" x14ac:dyDescent="0.25">
      <c r="A5765" s="8"/>
      <c r="B5765" s="9"/>
      <c r="C5765" s="8"/>
    </row>
    <row r="5766" spans="1:3" x14ac:dyDescent="0.25">
      <c r="A5766" s="8"/>
      <c r="B5766" s="9"/>
      <c r="C5766" s="8"/>
    </row>
    <row r="5767" spans="1:3" x14ac:dyDescent="0.25">
      <c r="A5767" s="8"/>
      <c r="B5767" s="9"/>
      <c r="C5767" s="8"/>
    </row>
    <row r="5768" spans="1:3" x14ac:dyDescent="0.25">
      <c r="A5768" s="8"/>
      <c r="B5768" s="9"/>
      <c r="C5768" s="8"/>
    </row>
    <row r="5769" spans="1:3" x14ac:dyDescent="0.25">
      <c r="A5769" s="8"/>
      <c r="B5769" s="9"/>
      <c r="C5769" s="8"/>
    </row>
    <row r="5770" spans="1:3" x14ac:dyDescent="0.25">
      <c r="A5770" s="8"/>
      <c r="B5770" s="9"/>
      <c r="C5770" s="8"/>
    </row>
    <row r="5771" spans="1:3" x14ac:dyDescent="0.25">
      <c r="A5771" s="8"/>
      <c r="B5771" s="9"/>
      <c r="C5771" s="8"/>
    </row>
    <row r="5772" spans="1:3" x14ac:dyDescent="0.25">
      <c r="A5772" s="8"/>
      <c r="B5772" s="9"/>
      <c r="C5772" s="8"/>
    </row>
    <row r="5773" spans="1:3" x14ac:dyDescent="0.25">
      <c r="A5773" s="8"/>
      <c r="B5773" s="9"/>
      <c r="C5773" s="8"/>
    </row>
    <row r="5774" spans="1:3" x14ac:dyDescent="0.25">
      <c r="A5774" s="8"/>
      <c r="B5774" s="9"/>
      <c r="C5774" s="8"/>
    </row>
    <row r="5775" spans="1:3" x14ac:dyDescent="0.25">
      <c r="A5775" s="8"/>
      <c r="B5775" s="9"/>
      <c r="C5775" s="8"/>
    </row>
    <row r="5776" spans="1:3" x14ac:dyDescent="0.25">
      <c r="A5776" s="8"/>
      <c r="B5776" s="9"/>
      <c r="C5776" s="8"/>
    </row>
    <row r="5777" spans="1:3" x14ac:dyDescent="0.25">
      <c r="A5777" s="8"/>
      <c r="B5777" s="9"/>
      <c r="C5777" s="8"/>
    </row>
    <row r="5778" spans="1:3" x14ac:dyDescent="0.25">
      <c r="A5778" s="8"/>
      <c r="B5778" s="9"/>
      <c r="C5778" s="8"/>
    </row>
    <row r="5779" spans="1:3" x14ac:dyDescent="0.25">
      <c r="A5779" s="8"/>
      <c r="B5779" s="9"/>
      <c r="C5779" s="8"/>
    </row>
    <row r="5780" spans="1:3" x14ac:dyDescent="0.25">
      <c r="A5780" s="8"/>
      <c r="B5780" s="9"/>
      <c r="C5780" s="8"/>
    </row>
    <row r="5781" spans="1:3" x14ac:dyDescent="0.25">
      <c r="A5781" s="8"/>
      <c r="B5781" s="9"/>
      <c r="C5781" s="8"/>
    </row>
    <row r="5782" spans="1:3" x14ac:dyDescent="0.25">
      <c r="A5782" s="8"/>
      <c r="B5782" s="9"/>
      <c r="C5782" s="8"/>
    </row>
    <row r="5783" spans="1:3" x14ac:dyDescent="0.25">
      <c r="A5783" s="8"/>
      <c r="B5783" s="9"/>
      <c r="C5783" s="8"/>
    </row>
    <row r="5784" spans="1:3" x14ac:dyDescent="0.25">
      <c r="A5784" s="8"/>
      <c r="B5784" s="9"/>
      <c r="C5784" s="8"/>
    </row>
    <row r="5785" spans="1:3" x14ac:dyDescent="0.25">
      <c r="A5785" s="8"/>
      <c r="B5785" s="9"/>
      <c r="C5785" s="8"/>
    </row>
    <row r="5786" spans="1:3" x14ac:dyDescent="0.25">
      <c r="A5786" s="8"/>
      <c r="B5786" s="9"/>
      <c r="C5786" s="8"/>
    </row>
    <row r="5787" spans="1:3" x14ac:dyDescent="0.25">
      <c r="A5787" s="8"/>
      <c r="B5787" s="9"/>
      <c r="C5787" s="8"/>
    </row>
    <row r="5788" spans="1:3" x14ac:dyDescent="0.25">
      <c r="A5788" s="8"/>
      <c r="B5788" s="9"/>
      <c r="C5788" s="8"/>
    </row>
    <row r="5789" spans="1:3" x14ac:dyDescent="0.25">
      <c r="A5789" s="8"/>
      <c r="B5789" s="9"/>
      <c r="C5789" s="8"/>
    </row>
    <row r="5790" spans="1:3" x14ac:dyDescent="0.25">
      <c r="A5790" s="8"/>
      <c r="B5790" s="9"/>
      <c r="C5790" s="8"/>
    </row>
    <row r="5791" spans="1:3" x14ac:dyDescent="0.25">
      <c r="A5791" s="8"/>
      <c r="B5791" s="9"/>
      <c r="C5791" s="8"/>
    </row>
    <row r="5792" spans="1:3" x14ac:dyDescent="0.25">
      <c r="A5792" s="8"/>
      <c r="B5792" s="9"/>
      <c r="C5792" s="8"/>
    </row>
    <row r="5793" spans="1:3" x14ac:dyDescent="0.25">
      <c r="A5793" s="8"/>
      <c r="B5793" s="9"/>
      <c r="C5793" s="8"/>
    </row>
    <row r="5794" spans="1:3" x14ac:dyDescent="0.25">
      <c r="A5794" s="8"/>
      <c r="B5794" s="9"/>
      <c r="C5794" s="8"/>
    </row>
    <row r="5795" spans="1:3" x14ac:dyDescent="0.25">
      <c r="A5795" s="8"/>
      <c r="B5795" s="9"/>
      <c r="C5795" s="8"/>
    </row>
    <row r="5796" spans="1:3" x14ac:dyDescent="0.25">
      <c r="A5796" s="8"/>
      <c r="B5796" s="9"/>
      <c r="C5796" s="8"/>
    </row>
    <row r="5797" spans="1:3" x14ac:dyDescent="0.25">
      <c r="A5797" s="8"/>
      <c r="B5797" s="9"/>
      <c r="C5797" s="8"/>
    </row>
    <row r="5798" spans="1:3" x14ac:dyDescent="0.25">
      <c r="A5798" s="8"/>
      <c r="B5798" s="9"/>
      <c r="C5798" s="8"/>
    </row>
    <row r="5799" spans="1:3" x14ac:dyDescent="0.25">
      <c r="A5799" s="8"/>
      <c r="B5799" s="9"/>
      <c r="C5799" s="8"/>
    </row>
    <row r="5800" spans="1:3" x14ac:dyDescent="0.25">
      <c r="A5800" s="8"/>
      <c r="B5800" s="9"/>
      <c r="C5800" s="8"/>
    </row>
    <row r="5801" spans="1:3" x14ac:dyDescent="0.25">
      <c r="A5801" s="8"/>
      <c r="B5801" s="9"/>
      <c r="C5801" s="8"/>
    </row>
    <row r="5802" spans="1:3" x14ac:dyDescent="0.25">
      <c r="A5802" s="8"/>
      <c r="B5802" s="9"/>
      <c r="C5802" s="8"/>
    </row>
    <row r="5803" spans="1:3" x14ac:dyDescent="0.25">
      <c r="A5803" s="8"/>
      <c r="B5803" s="9"/>
      <c r="C5803" s="8"/>
    </row>
    <row r="5804" spans="1:3" x14ac:dyDescent="0.25">
      <c r="A5804" s="8"/>
      <c r="B5804" s="9"/>
      <c r="C5804" s="8"/>
    </row>
    <row r="5805" spans="1:3" x14ac:dyDescent="0.25">
      <c r="A5805" s="8"/>
      <c r="B5805" s="9"/>
      <c r="C5805" s="8"/>
    </row>
    <row r="5806" spans="1:3" x14ac:dyDescent="0.25">
      <c r="A5806" s="8"/>
      <c r="B5806" s="9"/>
      <c r="C5806" s="8"/>
    </row>
    <row r="5807" spans="1:3" x14ac:dyDescent="0.25">
      <c r="A5807" s="8"/>
      <c r="B5807" s="9"/>
      <c r="C5807" s="8"/>
    </row>
    <row r="5808" spans="1:3" x14ac:dyDescent="0.25">
      <c r="A5808" s="8"/>
      <c r="B5808" s="9"/>
      <c r="C5808" s="8"/>
    </row>
    <row r="5809" spans="1:3" x14ac:dyDescent="0.25">
      <c r="A5809" s="8"/>
      <c r="B5809" s="9"/>
      <c r="C5809" s="8"/>
    </row>
    <row r="5810" spans="1:3" x14ac:dyDescent="0.25">
      <c r="A5810" s="8"/>
      <c r="B5810" s="9"/>
      <c r="C5810" s="8"/>
    </row>
    <row r="5811" spans="1:3" x14ac:dyDescent="0.25">
      <c r="A5811" s="8"/>
      <c r="B5811" s="9"/>
      <c r="C5811" s="8"/>
    </row>
    <row r="5812" spans="1:3" x14ac:dyDescent="0.25">
      <c r="A5812" s="8"/>
      <c r="B5812" s="9"/>
      <c r="C5812" s="8"/>
    </row>
    <row r="5813" spans="1:3" x14ac:dyDescent="0.25">
      <c r="A5813" s="8"/>
      <c r="B5813" s="9"/>
      <c r="C5813" s="8"/>
    </row>
    <row r="5814" spans="1:3" x14ac:dyDescent="0.25">
      <c r="A5814" s="8"/>
      <c r="B5814" s="9"/>
      <c r="C5814" s="8"/>
    </row>
    <row r="5815" spans="1:3" x14ac:dyDescent="0.25">
      <c r="A5815" s="8"/>
      <c r="B5815" s="9"/>
      <c r="C5815" s="8"/>
    </row>
    <row r="5816" spans="1:3" x14ac:dyDescent="0.25">
      <c r="A5816" s="8"/>
      <c r="B5816" s="9"/>
      <c r="C5816" s="8"/>
    </row>
    <row r="5817" spans="1:3" x14ac:dyDescent="0.25">
      <c r="A5817" s="8"/>
      <c r="B5817" s="9"/>
      <c r="C5817" s="8"/>
    </row>
    <row r="5818" spans="1:3" x14ac:dyDescent="0.25">
      <c r="A5818" s="8"/>
      <c r="B5818" s="9"/>
      <c r="C5818" s="8"/>
    </row>
    <row r="5819" spans="1:3" x14ac:dyDescent="0.25">
      <c r="A5819" s="8"/>
      <c r="B5819" s="9"/>
      <c r="C5819" s="8"/>
    </row>
    <row r="5820" spans="1:3" x14ac:dyDescent="0.25">
      <c r="A5820" s="8"/>
      <c r="B5820" s="9"/>
      <c r="C5820" s="8"/>
    </row>
    <row r="5821" spans="1:3" x14ac:dyDescent="0.25">
      <c r="A5821" s="8"/>
      <c r="B5821" s="9"/>
      <c r="C5821" s="8"/>
    </row>
    <row r="5822" spans="1:3" x14ac:dyDescent="0.25">
      <c r="A5822" s="8"/>
      <c r="B5822" s="9"/>
      <c r="C5822" s="8"/>
    </row>
    <row r="5823" spans="1:3" x14ac:dyDescent="0.25">
      <c r="A5823" s="8"/>
      <c r="B5823" s="9"/>
      <c r="C5823" s="8"/>
    </row>
    <row r="5824" spans="1:3" x14ac:dyDescent="0.25">
      <c r="A5824" s="8"/>
      <c r="B5824" s="9"/>
      <c r="C5824" s="8"/>
    </row>
    <row r="5825" spans="1:3" x14ac:dyDescent="0.25">
      <c r="A5825" s="8"/>
      <c r="B5825" s="9"/>
      <c r="C5825" s="8"/>
    </row>
    <row r="5826" spans="1:3" x14ac:dyDescent="0.25">
      <c r="A5826" s="8"/>
      <c r="B5826" s="9"/>
      <c r="C5826" s="8"/>
    </row>
    <row r="5827" spans="1:3" x14ac:dyDescent="0.25">
      <c r="A5827" s="8"/>
      <c r="B5827" s="9"/>
      <c r="C5827" s="8"/>
    </row>
    <row r="5828" spans="1:3" x14ac:dyDescent="0.25">
      <c r="A5828" s="8"/>
      <c r="B5828" s="9"/>
      <c r="C5828" s="8"/>
    </row>
    <row r="5829" spans="1:3" x14ac:dyDescent="0.25">
      <c r="A5829" s="8"/>
      <c r="B5829" s="9"/>
      <c r="C5829" s="8"/>
    </row>
    <row r="5830" spans="1:3" x14ac:dyDescent="0.25">
      <c r="A5830" s="8"/>
      <c r="B5830" s="9"/>
      <c r="C5830" s="8"/>
    </row>
    <row r="5831" spans="1:3" x14ac:dyDescent="0.25">
      <c r="A5831" s="8"/>
      <c r="B5831" s="9"/>
      <c r="C5831" s="8"/>
    </row>
    <row r="5832" spans="1:3" x14ac:dyDescent="0.25">
      <c r="A5832" s="8"/>
      <c r="B5832" s="9"/>
      <c r="C5832" s="8"/>
    </row>
    <row r="5833" spans="1:3" x14ac:dyDescent="0.25">
      <c r="A5833" s="8"/>
      <c r="B5833" s="9"/>
      <c r="C5833" s="8"/>
    </row>
    <row r="5834" spans="1:3" x14ac:dyDescent="0.25">
      <c r="A5834" s="8"/>
      <c r="B5834" s="9"/>
      <c r="C5834" s="8"/>
    </row>
    <row r="5835" spans="1:3" x14ac:dyDescent="0.25">
      <c r="A5835" s="8"/>
      <c r="B5835" s="9"/>
      <c r="C5835" s="8"/>
    </row>
    <row r="5836" spans="1:3" x14ac:dyDescent="0.25">
      <c r="A5836" s="8"/>
      <c r="B5836" s="9"/>
      <c r="C5836" s="8"/>
    </row>
    <row r="5837" spans="1:3" x14ac:dyDescent="0.25">
      <c r="A5837" s="8"/>
      <c r="B5837" s="9"/>
      <c r="C5837" s="8"/>
    </row>
    <row r="5838" spans="1:3" x14ac:dyDescent="0.25">
      <c r="A5838" s="8"/>
      <c r="B5838" s="9"/>
      <c r="C5838" s="8"/>
    </row>
    <row r="5839" spans="1:3" x14ac:dyDescent="0.25">
      <c r="A5839" s="8"/>
      <c r="B5839" s="9"/>
      <c r="C5839" s="8"/>
    </row>
    <row r="5840" spans="1:3" x14ac:dyDescent="0.25">
      <c r="A5840" s="8"/>
      <c r="B5840" s="9"/>
      <c r="C5840" s="8"/>
    </row>
    <row r="5841" spans="1:3" x14ac:dyDescent="0.25">
      <c r="A5841" s="8"/>
      <c r="B5841" s="9"/>
      <c r="C5841" s="8"/>
    </row>
    <row r="5842" spans="1:3" x14ac:dyDescent="0.25">
      <c r="A5842" s="8"/>
      <c r="B5842" s="9"/>
      <c r="C5842" s="8"/>
    </row>
    <row r="5843" spans="1:3" x14ac:dyDescent="0.25">
      <c r="A5843" s="8"/>
      <c r="B5843" s="9"/>
      <c r="C5843" s="8"/>
    </row>
    <row r="5844" spans="1:3" x14ac:dyDescent="0.25">
      <c r="A5844" s="8"/>
      <c r="B5844" s="9"/>
      <c r="C5844" s="8"/>
    </row>
    <row r="5845" spans="1:3" x14ac:dyDescent="0.25">
      <c r="A5845" s="8"/>
      <c r="B5845" s="9"/>
      <c r="C5845" s="8"/>
    </row>
    <row r="5846" spans="1:3" x14ac:dyDescent="0.25">
      <c r="A5846" s="8"/>
      <c r="B5846" s="9"/>
      <c r="C5846" s="8"/>
    </row>
    <row r="5847" spans="1:3" x14ac:dyDescent="0.25">
      <c r="A5847" s="8"/>
      <c r="B5847" s="9"/>
      <c r="C5847" s="8"/>
    </row>
    <row r="5848" spans="1:3" x14ac:dyDescent="0.25">
      <c r="A5848" s="8"/>
      <c r="B5848" s="9"/>
      <c r="C5848" s="8"/>
    </row>
    <row r="5849" spans="1:3" x14ac:dyDescent="0.25">
      <c r="A5849" s="8"/>
      <c r="B5849" s="9"/>
      <c r="C5849" s="8"/>
    </row>
    <row r="5850" spans="1:3" x14ac:dyDescent="0.25">
      <c r="A5850" s="8"/>
      <c r="B5850" s="9"/>
      <c r="C5850" s="8"/>
    </row>
    <row r="5851" spans="1:3" x14ac:dyDescent="0.25">
      <c r="A5851" s="8"/>
      <c r="B5851" s="9"/>
      <c r="C5851" s="8"/>
    </row>
    <row r="5852" spans="1:3" x14ac:dyDescent="0.25">
      <c r="A5852" s="8"/>
      <c r="B5852" s="9"/>
      <c r="C5852" s="8"/>
    </row>
    <row r="5853" spans="1:3" x14ac:dyDescent="0.25">
      <c r="A5853" s="8"/>
      <c r="B5853" s="9"/>
      <c r="C5853" s="8"/>
    </row>
    <row r="5854" spans="1:3" x14ac:dyDescent="0.25">
      <c r="A5854" s="8"/>
      <c r="B5854" s="9"/>
      <c r="C5854" s="8"/>
    </row>
    <row r="5855" spans="1:3" x14ac:dyDescent="0.25">
      <c r="A5855" s="8"/>
      <c r="B5855" s="9"/>
      <c r="C5855" s="8"/>
    </row>
    <row r="5856" spans="1:3" x14ac:dyDescent="0.25">
      <c r="A5856" s="8"/>
      <c r="B5856" s="9"/>
      <c r="C5856" s="8"/>
    </row>
    <row r="5857" spans="1:3" x14ac:dyDescent="0.25">
      <c r="A5857" s="8"/>
      <c r="B5857" s="9"/>
      <c r="C5857" s="8"/>
    </row>
    <row r="5858" spans="1:3" x14ac:dyDescent="0.25">
      <c r="A5858" s="8"/>
      <c r="B5858" s="9"/>
      <c r="C5858" s="8"/>
    </row>
    <row r="5859" spans="1:3" x14ac:dyDescent="0.25">
      <c r="A5859" s="8"/>
      <c r="B5859" s="9"/>
      <c r="C5859" s="8"/>
    </row>
    <row r="5860" spans="1:3" x14ac:dyDescent="0.25">
      <c r="A5860" s="8"/>
      <c r="B5860" s="9"/>
      <c r="C5860" s="8"/>
    </row>
    <row r="5861" spans="1:3" x14ac:dyDescent="0.25">
      <c r="A5861" s="8"/>
      <c r="B5861" s="9"/>
      <c r="C5861" s="8"/>
    </row>
    <row r="5862" spans="1:3" x14ac:dyDescent="0.25">
      <c r="A5862" s="8"/>
      <c r="B5862" s="9"/>
      <c r="C5862" s="8"/>
    </row>
    <row r="5863" spans="1:3" x14ac:dyDescent="0.25">
      <c r="A5863" s="8"/>
      <c r="B5863" s="9"/>
      <c r="C5863" s="8"/>
    </row>
    <row r="5864" spans="1:3" x14ac:dyDescent="0.25">
      <c r="A5864" s="8"/>
      <c r="B5864" s="9"/>
      <c r="C5864" s="8"/>
    </row>
    <row r="5865" spans="1:3" x14ac:dyDescent="0.25">
      <c r="A5865" s="8"/>
      <c r="B5865" s="9"/>
      <c r="C5865" s="8"/>
    </row>
    <row r="5866" spans="1:3" x14ac:dyDescent="0.25">
      <c r="A5866" s="8"/>
      <c r="B5866" s="9"/>
      <c r="C5866" s="8"/>
    </row>
    <row r="5867" spans="1:3" x14ac:dyDescent="0.25">
      <c r="A5867" s="8"/>
      <c r="B5867" s="9"/>
      <c r="C5867" s="8"/>
    </row>
    <row r="5868" spans="1:3" x14ac:dyDescent="0.25">
      <c r="A5868" s="8"/>
      <c r="B5868" s="9"/>
      <c r="C5868" s="8"/>
    </row>
    <row r="5869" spans="1:3" x14ac:dyDescent="0.25">
      <c r="A5869" s="8"/>
      <c r="B5869" s="9"/>
      <c r="C5869" s="8"/>
    </row>
    <row r="5870" spans="1:3" x14ac:dyDescent="0.25">
      <c r="A5870" s="8"/>
      <c r="B5870" s="9"/>
      <c r="C5870" s="8"/>
    </row>
    <row r="5871" spans="1:3" x14ac:dyDescent="0.25">
      <c r="A5871" s="8"/>
      <c r="B5871" s="9"/>
      <c r="C5871" s="8"/>
    </row>
    <row r="5872" spans="1:3" x14ac:dyDescent="0.25">
      <c r="A5872" s="8"/>
      <c r="B5872" s="9"/>
      <c r="C5872" s="8"/>
    </row>
    <row r="5873" spans="1:3" x14ac:dyDescent="0.25">
      <c r="A5873" s="8"/>
      <c r="B5873" s="9"/>
      <c r="C5873" s="8"/>
    </row>
    <row r="5874" spans="1:3" x14ac:dyDescent="0.25">
      <c r="A5874" s="8"/>
      <c r="B5874" s="9"/>
      <c r="C5874" s="8"/>
    </row>
    <row r="5875" spans="1:3" x14ac:dyDescent="0.25">
      <c r="A5875" s="8"/>
      <c r="B5875" s="9"/>
      <c r="C5875" s="8"/>
    </row>
    <row r="5876" spans="1:3" x14ac:dyDescent="0.25">
      <c r="A5876" s="8"/>
      <c r="B5876" s="9"/>
      <c r="C5876" s="8"/>
    </row>
    <row r="5877" spans="1:3" x14ac:dyDescent="0.25">
      <c r="A5877" s="8"/>
      <c r="B5877" s="9"/>
      <c r="C5877" s="8"/>
    </row>
    <row r="5878" spans="1:3" x14ac:dyDescent="0.25">
      <c r="A5878" s="8"/>
      <c r="B5878" s="9"/>
      <c r="C5878" s="8"/>
    </row>
    <row r="5879" spans="1:3" x14ac:dyDescent="0.25">
      <c r="A5879" s="8"/>
      <c r="B5879" s="9"/>
      <c r="C5879" s="8"/>
    </row>
    <row r="5880" spans="1:3" x14ac:dyDescent="0.25">
      <c r="A5880" s="8"/>
      <c r="B5880" s="9"/>
      <c r="C5880" s="8"/>
    </row>
    <row r="5881" spans="1:3" x14ac:dyDescent="0.25">
      <c r="A5881" s="8"/>
      <c r="B5881" s="9"/>
      <c r="C5881" s="8"/>
    </row>
    <row r="5882" spans="1:3" x14ac:dyDescent="0.25">
      <c r="A5882" s="8"/>
      <c r="B5882" s="9"/>
      <c r="C5882" s="8"/>
    </row>
    <row r="5883" spans="1:3" x14ac:dyDescent="0.25">
      <c r="A5883" s="8"/>
      <c r="B5883" s="9"/>
      <c r="C5883" s="8"/>
    </row>
    <row r="5884" spans="1:3" x14ac:dyDescent="0.25">
      <c r="A5884" s="8"/>
      <c r="B5884" s="9"/>
      <c r="C5884" s="8"/>
    </row>
    <row r="5885" spans="1:3" x14ac:dyDescent="0.25">
      <c r="A5885" s="8"/>
      <c r="B5885" s="9"/>
      <c r="C5885" s="8"/>
    </row>
    <row r="5886" spans="1:3" x14ac:dyDescent="0.25">
      <c r="A5886" s="8"/>
      <c r="B5886" s="9"/>
      <c r="C5886" s="8"/>
    </row>
    <row r="5887" spans="1:3" x14ac:dyDescent="0.25">
      <c r="A5887" s="8"/>
      <c r="B5887" s="9"/>
      <c r="C5887" s="8"/>
    </row>
    <row r="5888" spans="1:3" x14ac:dyDescent="0.25">
      <c r="A5888" s="8"/>
      <c r="B5888" s="9"/>
      <c r="C5888" s="8"/>
    </row>
    <row r="5889" spans="1:3" x14ac:dyDescent="0.25">
      <c r="A5889" s="8"/>
      <c r="B5889" s="9"/>
      <c r="C5889" s="8"/>
    </row>
    <row r="5890" spans="1:3" x14ac:dyDescent="0.25">
      <c r="A5890" s="8"/>
      <c r="B5890" s="9"/>
      <c r="C5890" s="8"/>
    </row>
    <row r="5891" spans="1:3" x14ac:dyDescent="0.25">
      <c r="A5891" s="8"/>
      <c r="B5891" s="9"/>
      <c r="C5891" s="8"/>
    </row>
    <row r="5892" spans="1:3" x14ac:dyDescent="0.25">
      <c r="A5892" s="8"/>
      <c r="B5892" s="9"/>
      <c r="C5892" s="8"/>
    </row>
    <row r="5893" spans="1:3" x14ac:dyDescent="0.25">
      <c r="A5893" s="8"/>
      <c r="B5893" s="9"/>
      <c r="C5893" s="8"/>
    </row>
    <row r="5894" spans="1:3" x14ac:dyDescent="0.25">
      <c r="A5894" s="8"/>
      <c r="B5894" s="9"/>
      <c r="C5894" s="8"/>
    </row>
    <row r="5895" spans="1:3" x14ac:dyDescent="0.25">
      <c r="A5895" s="8"/>
      <c r="B5895" s="9"/>
      <c r="C5895" s="8"/>
    </row>
    <row r="5896" spans="1:3" x14ac:dyDescent="0.25">
      <c r="A5896" s="8"/>
      <c r="B5896" s="9"/>
      <c r="C5896" s="8"/>
    </row>
    <row r="5897" spans="1:3" x14ac:dyDescent="0.25">
      <c r="A5897" s="8"/>
      <c r="B5897" s="9"/>
      <c r="C5897" s="8"/>
    </row>
    <row r="5898" spans="1:3" x14ac:dyDescent="0.25">
      <c r="A5898" s="8"/>
      <c r="B5898" s="9"/>
      <c r="C5898" s="8"/>
    </row>
    <row r="5899" spans="1:3" x14ac:dyDescent="0.25">
      <c r="A5899" s="8"/>
      <c r="B5899" s="9"/>
      <c r="C5899" s="8"/>
    </row>
    <row r="5900" spans="1:3" x14ac:dyDescent="0.25">
      <c r="A5900" s="8"/>
      <c r="B5900" s="9"/>
      <c r="C5900" s="8"/>
    </row>
    <row r="5901" spans="1:3" x14ac:dyDescent="0.25">
      <c r="A5901" s="8"/>
      <c r="B5901" s="9"/>
      <c r="C5901" s="8"/>
    </row>
    <row r="5902" spans="1:3" x14ac:dyDescent="0.25">
      <c r="A5902" s="8"/>
      <c r="B5902" s="9"/>
      <c r="C5902" s="8"/>
    </row>
    <row r="5903" spans="1:3" x14ac:dyDescent="0.25">
      <c r="A5903" s="8"/>
      <c r="B5903" s="9"/>
      <c r="C5903" s="8"/>
    </row>
    <row r="5904" spans="1:3" x14ac:dyDescent="0.25">
      <c r="A5904" s="8"/>
      <c r="B5904" s="9"/>
      <c r="C5904" s="8"/>
    </row>
    <row r="5905" spans="1:3" x14ac:dyDescent="0.25">
      <c r="A5905" s="8"/>
      <c r="B5905" s="9"/>
      <c r="C5905" s="8"/>
    </row>
    <row r="5906" spans="1:3" x14ac:dyDescent="0.25">
      <c r="A5906" s="8"/>
      <c r="B5906" s="9"/>
      <c r="C5906" s="8"/>
    </row>
    <row r="5907" spans="1:3" x14ac:dyDescent="0.25">
      <c r="A5907" s="8"/>
      <c r="B5907" s="9"/>
      <c r="C5907" s="8"/>
    </row>
    <row r="5908" spans="1:3" x14ac:dyDescent="0.25">
      <c r="A5908" s="8"/>
      <c r="B5908" s="9"/>
      <c r="C5908" s="8"/>
    </row>
    <row r="5909" spans="1:3" x14ac:dyDescent="0.25">
      <c r="A5909" s="8"/>
      <c r="B5909" s="9"/>
      <c r="C5909" s="8"/>
    </row>
    <row r="5910" spans="1:3" x14ac:dyDescent="0.25">
      <c r="A5910" s="8"/>
      <c r="B5910" s="9"/>
      <c r="C5910" s="8"/>
    </row>
    <row r="5911" spans="1:3" x14ac:dyDescent="0.25">
      <c r="A5911" s="8"/>
      <c r="B5911" s="9"/>
      <c r="C5911" s="8"/>
    </row>
    <row r="5912" spans="1:3" x14ac:dyDescent="0.25">
      <c r="A5912" s="8"/>
      <c r="B5912" s="9"/>
      <c r="C5912" s="8"/>
    </row>
    <row r="5913" spans="1:3" x14ac:dyDescent="0.25">
      <c r="A5913" s="8"/>
      <c r="B5913" s="9"/>
      <c r="C5913" s="8"/>
    </row>
    <row r="5914" spans="1:3" x14ac:dyDescent="0.25">
      <c r="A5914" s="8"/>
      <c r="B5914" s="9"/>
      <c r="C5914" s="8"/>
    </row>
    <row r="5915" spans="1:3" x14ac:dyDescent="0.25">
      <c r="A5915" s="8"/>
      <c r="B5915" s="9"/>
      <c r="C5915" s="8"/>
    </row>
    <row r="5916" spans="1:3" x14ac:dyDescent="0.25">
      <c r="A5916" s="8"/>
      <c r="B5916" s="9"/>
      <c r="C5916" s="8"/>
    </row>
    <row r="5917" spans="1:3" x14ac:dyDescent="0.25">
      <c r="A5917" s="8"/>
      <c r="B5917" s="9"/>
      <c r="C5917" s="8"/>
    </row>
    <row r="5918" spans="1:3" x14ac:dyDescent="0.25">
      <c r="A5918" s="8"/>
      <c r="B5918" s="9"/>
      <c r="C5918" s="8"/>
    </row>
    <row r="5919" spans="1:3" x14ac:dyDescent="0.25">
      <c r="A5919" s="8"/>
      <c r="B5919" s="9"/>
      <c r="C5919" s="8"/>
    </row>
    <row r="5920" spans="1:3" x14ac:dyDescent="0.25">
      <c r="A5920" s="8"/>
      <c r="B5920" s="9"/>
      <c r="C5920" s="8"/>
    </row>
    <row r="5921" spans="1:3" x14ac:dyDescent="0.25">
      <c r="A5921" s="8"/>
      <c r="B5921" s="9"/>
      <c r="C5921" s="8"/>
    </row>
    <row r="5922" spans="1:3" x14ac:dyDescent="0.25">
      <c r="A5922" s="8"/>
      <c r="B5922" s="9"/>
      <c r="C5922" s="8"/>
    </row>
    <row r="5923" spans="1:3" x14ac:dyDescent="0.25">
      <c r="A5923" s="8"/>
      <c r="B5923" s="9"/>
      <c r="C5923" s="8"/>
    </row>
    <row r="5924" spans="1:3" x14ac:dyDescent="0.25">
      <c r="A5924" s="8"/>
      <c r="B5924" s="9"/>
      <c r="C5924" s="8"/>
    </row>
    <row r="5925" spans="1:3" x14ac:dyDescent="0.25">
      <c r="A5925" s="8"/>
      <c r="B5925" s="9"/>
      <c r="C5925" s="8"/>
    </row>
    <row r="5926" spans="1:3" x14ac:dyDescent="0.25">
      <c r="A5926" s="8"/>
      <c r="B5926" s="9"/>
      <c r="C5926" s="8"/>
    </row>
    <row r="5927" spans="1:3" x14ac:dyDescent="0.25">
      <c r="A5927" s="8"/>
      <c r="B5927" s="9"/>
      <c r="C5927" s="8"/>
    </row>
    <row r="5928" spans="1:3" x14ac:dyDescent="0.25">
      <c r="A5928" s="8"/>
      <c r="B5928" s="9"/>
      <c r="C5928" s="8"/>
    </row>
    <row r="5929" spans="1:3" x14ac:dyDescent="0.25">
      <c r="A5929" s="8"/>
      <c r="B5929" s="9"/>
      <c r="C5929" s="8"/>
    </row>
    <row r="5930" spans="1:3" x14ac:dyDescent="0.25">
      <c r="A5930" s="8"/>
      <c r="B5930" s="9"/>
      <c r="C5930" s="8"/>
    </row>
    <row r="5931" spans="1:3" x14ac:dyDescent="0.25">
      <c r="A5931" s="8"/>
      <c r="B5931" s="9"/>
      <c r="C5931" s="8"/>
    </row>
    <row r="5932" spans="1:3" x14ac:dyDescent="0.25">
      <c r="A5932" s="8"/>
      <c r="B5932" s="9"/>
      <c r="C5932" s="8"/>
    </row>
    <row r="5933" spans="1:3" x14ac:dyDescent="0.25">
      <c r="A5933" s="8"/>
      <c r="B5933" s="9"/>
      <c r="C5933" s="8"/>
    </row>
    <row r="5934" spans="1:3" x14ac:dyDescent="0.25">
      <c r="A5934" s="8"/>
      <c r="B5934" s="9"/>
      <c r="C5934" s="8"/>
    </row>
    <row r="5935" spans="1:3" x14ac:dyDescent="0.25">
      <c r="A5935" s="8"/>
      <c r="B5935" s="9"/>
      <c r="C5935" s="8"/>
    </row>
    <row r="5936" spans="1:3" x14ac:dyDescent="0.25">
      <c r="A5936" s="8"/>
      <c r="B5936" s="9"/>
      <c r="C5936" s="8"/>
    </row>
    <row r="5937" spans="1:3" x14ac:dyDescent="0.25">
      <c r="A5937" s="8"/>
      <c r="B5937" s="9"/>
      <c r="C5937" s="8"/>
    </row>
    <row r="5938" spans="1:3" x14ac:dyDescent="0.25">
      <c r="A5938" s="8"/>
      <c r="B5938" s="9"/>
      <c r="C5938" s="8"/>
    </row>
    <row r="5939" spans="1:3" x14ac:dyDescent="0.25">
      <c r="A5939" s="8"/>
      <c r="B5939" s="9"/>
      <c r="C5939" s="8"/>
    </row>
    <row r="5940" spans="1:3" x14ac:dyDescent="0.25">
      <c r="A5940" s="8"/>
      <c r="B5940" s="9"/>
      <c r="C5940" s="8"/>
    </row>
    <row r="5941" spans="1:3" x14ac:dyDescent="0.25">
      <c r="A5941" s="8"/>
      <c r="B5941" s="9"/>
      <c r="C5941" s="8"/>
    </row>
    <row r="5942" spans="1:3" x14ac:dyDescent="0.25">
      <c r="A5942" s="8"/>
      <c r="B5942" s="9"/>
      <c r="C5942" s="8"/>
    </row>
    <row r="5943" spans="1:3" x14ac:dyDescent="0.25">
      <c r="A5943" s="8"/>
      <c r="B5943" s="9"/>
      <c r="C5943" s="8"/>
    </row>
    <row r="5944" spans="1:3" x14ac:dyDescent="0.25">
      <c r="A5944" s="8"/>
      <c r="B5944" s="9"/>
      <c r="C5944" s="8"/>
    </row>
    <row r="5945" spans="1:3" x14ac:dyDescent="0.25">
      <c r="A5945" s="8"/>
      <c r="B5945" s="9"/>
      <c r="C5945" s="8"/>
    </row>
    <row r="5946" spans="1:3" x14ac:dyDescent="0.25">
      <c r="A5946" s="8"/>
      <c r="B5946" s="9"/>
      <c r="C5946" s="8"/>
    </row>
    <row r="5947" spans="1:3" x14ac:dyDescent="0.25">
      <c r="A5947" s="8"/>
      <c r="B5947" s="9"/>
      <c r="C5947" s="8"/>
    </row>
    <row r="5948" spans="1:3" x14ac:dyDescent="0.25">
      <c r="A5948" s="8"/>
      <c r="B5948" s="9"/>
      <c r="C5948" s="8"/>
    </row>
    <row r="5949" spans="1:3" x14ac:dyDescent="0.25">
      <c r="A5949" s="8"/>
      <c r="B5949" s="9"/>
      <c r="C5949" s="8"/>
    </row>
    <row r="5950" spans="1:3" x14ac:dyDescent="0.25">
      <c r="A5950" s="8"/>
      <c r="B5950" s="9"/>
      <c r="C5950" s="8"/>
    </row>
    <row r="5951" spans="1:3" x14ac:dyDescent="0.25">
      <c r="A5951" s="8"/>
      <c r="B5951" s="9"/>
      <c r="C5951" s="8"/>
    </row>
    <row r="5952" spans="1:3" x14ac:dyDescent="0.25">
      <c r="A5952" s="8"/>
      <c r="B5952" s="9"/>
      <c r="C5952" s="8"/>
    </row>
    <row r="5953" spans="1:3" x14ac:dyDescent="0.25">
      <c r="A5953" s="8"/>
      <c r="B5953" s="9"/>
      <c r="C5953" s="8"/>
    </row>
    <row r="5954" spans="1:3" x14ac:dyDescent="0.25">
      <c r="A5954" s="8"/>
      <c r="B5954" s="9"/>
      <c r="C5954" s="8"/>
    </row>
    <row r="5955" spans="1:3" x14ac:dyDescent="0.25">
      <c r="A5955" s="8"/>
      <c r="B5955" s="9"/>
      <c r="C5955" s="8"/>
    </row>
    <row r="5956" spans="1:3" x14ac:dyDescent="0.25">
      <c r="A5956" s="8"/>
      <c r="B5956" s="9"/>
      <c r="C5956" s="8"/>
    </row>
    <row r="5957" spans="1:3" x14ac:dyDescent="0.25">
      <c r="A5957" s="8"/>
      <c r="B5957" s="9"/>
      <c r="C5957" s="8"/>
    </row>
    <row r="5958" spans="1:3" x14ac:dyDescent="0.25">
      <c r="A5958" s="8"/>
      <c r="B5958" s="9"/>
      <c r="C5958" s="8"/>
    </row>
    <row r="5959" spans="1:3" x14ac:dyDescent="0.25">
      <c r="A5959" s="8"/>
      <c r="B5959" s="9"/>
      <c r="C5959" s="8"/>
    </row>
    <row r="5960" spans="1:3" x14ac:dyDescent="0.25">
      <c r="A5960" s="8"/>
      <c r="B5960" s="9"/>
      <c r="C5960" s="8"/>
    </row>
    <row r="5961" spans="1:3" x14ac:dyDescent="0.25">
      <c r="A5961" s="8"/>
      <c r="B5961" s="9"/>
      <c r="C5961" s="8"/>
    </row>
    <row r="5962" spans="1:3" x14ac:dyDescent="0.25">
      <c r="A5962" s="8"/>
      <c r="B5962" s="9"/>
      <c r="C5962" s="8"/>
    </row>
    <row r="5963" spans="1:3" x14ac:dyDescent="0.25">
      <c r="A5963" s="8"/>
      <c r="B5963" s="9"/>
      <c r="C5963" s="8"/>
    </row>
    <row r="5964" spans="1:3" x14ac:dyDescent="0.25">
      <c r="A5964" s="8"/>
      <c r="B5964" s="9"/>
      <c r="C5964" s="8"/>
    </row>
    <row r="5965" spans="1:3" x14ac:dyDescent="0.25">
      <c r="A5965" s="8"/>
      <c r="B5965" s="9"/>
      <c r="C5965" s="8"/>
    </row>
    <row r="5966" spans="1:3" x14ac:dyDescent="0.25">
      <c r="A5966" s="8"/>
      <c r="B5966" s="9"/>
      <c r="C5966" s="8"/>
    </row>
    <row r="5967" spans="1:3" x14ac:dyDescent="0.25">
      <c r="A5967" s="8"/>
      <c r="B5967" s="9"/>
      <c r="C5967" s="8"/>
    </row>
    <row r="5968" spans="1:3" x14ac:dyDescent="0.25">
      <c r="A5968" s="8"/>
      <c r="B5968" s="9"/>
      <c r="C5968" s="8"/>
    </row>
    <row r="5969" spans="1:3" x14ac:dyDescent="0.25">
      <c r="A5969" s="8"/>
      <c r="B5969" s="9"/>
      <c r="C5969" s="8"/>
    </row>
    <row r="5970" spans="1:3" x14ac:dyDescent="0.25">
      <c r="A5970" s="8"/>
      <c r="B5970" s="9"/>
      <c r="C5970" s="8"/>
    </row>
    <row r="5971" spans="1:3" x14ac:dyDescent="0.25">
      <c r="A5971" s="8"/>
      <c r="B5971" s="9"/>
      <c r="C5971" s="8"/>
    </row>
    <row r="5972" spans="1:3" x14ac:dyDescent="0.25">
      <c r="A5972" s="8"/>
      <c r="B5972" s="9"/>
      <c r="C5972" s="8"/>
    </row>
    <row r="5973" spans="1:3" x14ac:dyDescent="0.25">
      <c r="A5973" s="8"/>
      <c r="B5973" s="9"/>
      <c r="C5973" s="8"/>
    </row>
    <row r="5974" spans="1:3" x14ac:dyDescent="0.25">
      <c r="A5974" s="8"/>
      <c r="B5974" s="9"/>
      <c r="C5974" s="8"/>
    </row>
    <row r="5975" spans="1:3" x14ac:dyDescent="0.25">
      <c r="A5975" s="8"/>
      <c r="B5975" s="9"/>
      <c r="C5975" s="8"/>
    </row>
    <row r="5976" spans="1:3" x14ac:dyDescent="0.25">
      <c r="A5976" s="8"/>
      <c r="B5976" s="9"/>
      <c r="C5976" s="8"/>
    </row>
    <row r="5977" spans="1:3" x14ac:dyDescent="0.25">
      <c r="A5977" s="8"/>
      <c r="B5977" s="9"/>
      <c r="C5977" s="8"/>
    </row>
    <row r="5978" spans="1:3" x14ac:dyDescent="0.25">
      <c r="A5978" s="8"/>
      <c r="B5978" s="9"/>
      <c r="C5978" s="8"/>
    </row>
    <row r="5979" spans="1:3" x14ac:dyDescent="0.25">
      <c r="A5979" s="8"/>
      <c r="B5979" s="9"/>
      <c r="C5979" s="8"/>
    </row>
    <row r="5980" spans="1:3" x14ac:dyDescent="0.25">
      <c r="A5980" s="8"/>
      <c r="B5980" s="9"/>
      <c r="C5980" s="8"/>
    </row>
    <row r="5981" spans="1:3" x14ac:dyDescent="0.25">
      <c r="A5981" s="8"/>
      <c r="B5981" s="9"/>
      <c r="C5981" s="8"/>
    </row>
    <row r="5982" spans="1:3" x14ac:dyDescent="0.25">
      <c r="A5982" s="8"/>
      <c r="B5982" s="9"/>
      <c r="C5982" s="8"/>
    </row>
    <row r="5983" spans="1:3" x14ac:dyDescent="0.25">
      <c r="A5983" s="8"/>
      <c r="B5983" s="9"/>
      <c r="C5983" s="8"/>
    </row>
    <row r="5984" spans="1:3" x14ac:dyDescent="0.25">
      <c r="A5984" s="8"/>
      <c r="B5984" s="9"/>
      <c r="C5984" s="8"/>
    </row>
    <row r="5985" spans="1:3" x14ac:dyDescent="0.25">
      <c r="A5985" s="8"/>
      <c r="B5985" s="9"/>
      <c r="C5985" s="8"/>
    </row>
    <row r="5986" spans="1:3" x14ac:dyDescent="0.25">
      <c r="A5986" s="8"/>
      <c r="B5986" s="9"/>
      <c r="C5986" s="8"/>
    </row>
    <row r="5987" spans="1:3" x14ac:dyDescent="0.25">
      <c r="A5987" s="8"/>
      <c r="B5987" s="9"/>
      <c r="C5987" s="8"/>
    </row>
    <row r="5988" spans="1:3" x14ac:dyDescent="0.25">
      <c r="A5988" s="8"/>
      <c r="B5988" s="9"/>
      <c r="C5988" s="8"/>
    </row>
    <row r="5989" spans="1:3" x14ac:dyDescent="0.25">
      <c r="A5989" s="8"/>
      <c r="B5989" s="9"/>
      <c r="C5989" s="8"/>
    </row>
    <row r="5990" spans="1:3" x14ac:dyDescent="0.25">
      <c r="A5990" s="8"/>
      <c r="B5990" s="9"/>
      <c r="C5990" s="8"/>
    </row>
    <row r="5991" spans="1:3" x14ac:dyDescent="0.25">
      <c r="A5991" s="8"/>
      <c r="B5991" s="9"/>
      <c r="C5991" s="8"/>
    </row>
    <row r="5992" spans="1:3" x14ac:dyDescent="0.25">
      <c r="A5992" s="8"/>
      <c r="B5992" s="9"/>
      <c r="C5992" s="8"/>
    </row>
    <row r="5993" spans="1:3" x14ac:dyDescent="0.25">
      <c r="A5993" s="8"/>
      <c r="B5993" s="9"/>
      <c r="C5993" s="8"/>
    </row>
    <row r="5994" spans="1:3" x14ac:dyDescent="0.25">
      <c r="A5994" s="8"/>
      <c r="B5994" s="9"/>
      <c r="C5994" s="8"/>
    </row>
    <row r="5995" spans="1:3" x14ac:dyDescent="0.25">
      <c r="A5995" s="8"/>
      <c r="B5995" s="9"/>
      <c r="C5995" s="8"/>
    </row>
    <row r="5996" spans="1:3" x14ac:dyDescent="0.25">
      <c r="A5996" s="8"/>
      <c r="B5996" s="9"/>
      <c r="C5996" s="8"/>
    </row>
    <row r="5997" spans="1:3" x14ac:dyDescent="0.25">
      <c r="A5997" s="8"/>
      <c r="B5997" s="9"/>
      <c r="C5997" s="8"/>
    </row>
    <row r="5998" spans="1:3" x14ac:dyDescent="0.25">
      <c r="A5998" s="8"/>
      <c r="B5998" s="9"/>
      <c r="C5998" s="8"/>
    </row>
    <row r="5999" spans="1:3" x14ac:dyDescent="0.25">
      <c r="A5999" s="8"/>
      <c r="B5999" s="9"/>
      <c r="C5999" s="8"/>
    </row>
    <row r="6000" spans="1:3" x14ac:dyDescent="0.25">
      <c r="A6000" s="8"/>
      <c r="B6000" s="9"/>
      <c r="C6000" s="8"/>
    </row>
    <row r="6001" spans="1:3" x14ac:dyDescent="0.25">
      <c r="A6001" s="8"/>
      <c r="B6001" s="9"/>
      <c r="C6001" s="8"/>
    </row>
    <row r="6002" spans="1:3" x14ac:dyDescent="0.25">
      <c r="A6002" s="8"/>
      <c r="B6002" s="9"/>
      <c r="C6002" s="8"/>
    </row>
    <row r="6003" spans="1:3" x14ac:dyDescent="0.25">
      <c r="A6003" s="8"/>
      <c r="B6003" s="9"/>
      <c r="C6003" s="8"/>
    </row>
    <row r="6004" spans="1:3" x14ac:dyDescent="0.25">
      <c r="A6004" s="8"/>
      <c r="B6004" s="9"/>
      <c r="C6004" s="8"/>
    </row>
    <row r="6005" spans="1:3" x14ac:dyDescent="0.25">
      <c r="A6005" s="8"/>
      <c r="B6005" s="9"/>
      <c r="C6005" s="8"/>
    </row>
    <row r="6006" spans="1:3" x14ac:dyDescent="0.25">
      <c r="A6006" s="8"/>
      <c r="B6006" s="9"/>
      <c r="C6006" s="8"/>
    </row>
    <row r="6007" spans="1:3" x14ac:dyDescent="0.25">
      <c r="A6007" s="8"/>
      <c r="B6007" s="9"/>
      <c r="C6007" s="8"/>
    </row>
    <row r="6008" spans="1:3" x14ac:dyDescent="0.25">
      <c r="A6008" s="8"/>
      <c r="B6008" s="9"/>
      <c r="C6008" s="8"/>
    </row>
    <row r="6009" spans="1:3" x14ac:dyDescent="0.25">
      <c r="A6009" s="8"/>
      <c r="B6009" s="9"/>
      <c r="C6009" s="8"/>
    </row>
    <row r="6010" spans="1:3" x14ac:dyDescent="0.25">
      <c r="A6010" s="8"/>
      <c r="B6010" s="9"/>
      <c r="C6010" s="8"/>
    </row>
    <row r="6011" spans="1:3" x14ac:dyDescent="0.25">
      <c r="A6011" s="8"/>
      <c r="B6011" s="9"/>
      <c r="C6011" s="8"/>
    </row>
    <row r="6012" spans="1:3" x14ac:dyDescent="0.25">
      <c r="A6012" s="8"/>
      <c r="B6012" s="9"/>
      <c r="C6012" s="8"/>
    </row>
    <row r="6013" spans="1:3" x14ac:dyDescent="0.25">
      <c r="A6013" s="8"/>
      <c r="B6013" s="9"/>
      <c r="C6013" s="8"/>
    </row>
    <row r="6014" spans="1:3" x14ac:dyDescent="0.25">
      <c r="A6014" s="8"/>
      <c r="B6014" s="9"/>
      <c r="C6014" s="8"/>
    </row>
    <row r="6015" spans="1:3" x14ac:dyDescent="0.25">
      <c r="A6015" s="8"/>
      <c r="B6015" s="9"/>
      <c r="C6015" s="8"/>
    </row>
    <row r="6016" spans="1:3" x14ac:dyDescent="0.25">
      <c r="A6016" s="8"/>
      <c r="B6016" s="9"/>
      <c r="C6016" s="8"/>
    </row>
    <row r="6017" spans="1:3" x14ac:dyDescent="0.25">
      <c r="A6017" s="8"/>
      <c r="B6017" s="9"/>
      <c r="C6017" s="8"/>
    </row>
    <row r="6018" spans="1:3" x14ac:dyDescent="0.25">
      <c r="A6018" s="8"/>
      <c r="B6018" s="9"/>
      <c r="C6018" s="8"/>
    </row>
    <row r="6019" spans="1:3" x14ac:dyDescent="0.25">
      <c r="A6019" s="8"/>
      <c r="B6019" s="9"/>
      <c r="C6019" s="8"/>
    </row>
    <row r="6020" spans="1:3" x14ac:dyDescent="0.25">
      <c r="A6020" s="8"/>
      <c r="B6020" s="9"/>
      <c r="C6020" s="8"/>
    </row>
    <row r="6021" spans="1:3" x14ac:dyDescent="0.25">
      <c r="A6021" s="8"/>
      <c r="B6021" s="9"/>
      <c r="C6021" s="8"/>
    </row>
    <row r="6022" spans="1:3" x14ac:dyDescent="0.25">
      <c r="A6022" s="8"/>
      <c r="B6022" s="9"/>
      <c r="C6022" s="8"/>
    </row>
    <row r="6023" spans="1:3" x14ac:dyDescent="0.25">
      <c r="A6023" s="8"/>
      <c r="B6023" s="9"/>
      <c r="C6023" s="8"/>
    </row>
    <row r="6024" spans="1:3" x14ac:dyDescent="0.25">
      <c r="A6024" s="8"/>
      <c r="B6024" s="9"/>
      <c r="C6024" s="8"/>
    </row>
    <row r="6025" spans="1:3" x14ac:dyDescent="0.25">
      <c r="A6025" s="8"/>
      <c r="B6025" s="9"/>
      <c r="C6025" s="8"/>
    </row>
    <row r="6026" spans="1:3" x14ac:dyDescent="0.25">
      <c r="A6026" s="8"/>
      <c r="B6026" s="9"/>
      <c r="C6026" s="8"/>
    </row>
    <row r="6027" spans="1:3" x14ac:dyDescent="0.25">
      <c r="A6027" s="8"/>
      <c r="B6027" s="9"/>
      <c r="C6027" s="8"/>
    </row>
    <row r="6028" spans="1:3" x14ac:dyDescent="0.25">
      <c r="A6028" s="8"/>
      <c r="B6028" s="9"/>
      <c r="C6028" s="8"/>
    </row>
    <row r="6029" spans="1:3" x14ac:dyDescent="0.25">
      <c r="A6029" s="8"/>
      <c r="B6029" s="9"/>
      <c r="C6029" s="8"/>
    </row>
    <row r="6030" spans="1:3" x14ac:dyDescent="0.25">
      <c r="A6030" s="8"/>
      <c r="B6030" s="9"/>
      <c r="C6030" s="8"/>
    </row>
    <row r="6031" spans="1:3" x14ac:dyDescent="0.25">
      <c r="A6031" s="8"/>
      <c r="B6031" s="9"/>
      <c r="C6031" s="8"/>
    </row>
    <row r="6032" spans="1:3" x14ac:dyDescent="0.25">
      <c r="A6032" s="8"/>
      <c r="B6032" s="9"/>
      <c r="C6032" s="8"/>
    </row>
    <row r="6033" spans="1:3" x14ac:dyDescent="0.25">
      <c r="A6033" s="8"/>
      <c r="B6033" s="9"/>
      <c r="C6033" s="8"/>
    </row>
    <row r="6034" spans="1:3" x14ac:dyDescent="0.25">
      <c r="A6034" s="8"/>
      <c r="B6034" s="9"/>
      <c r="C6034" s="8"/>
    </row>
    <row r="6035" spans="1:3" x14ac:dyDescent="0.25">
      <c r="A6035" s="8"/>
      <c r="B6035" s="9"/>
      <c r="C6035" s="8"/>
    </row>
    <row r="6036" spans="1:3" x14ac:dyDescent="0.25">
      <c r="A6036" s="8"/>
      <c r="B6036" s="9"/>
      <c r="C6036" s="8"/>
    </row>
    <row r="6037" spans="1:3" x14ac:dyDescent="0.25">
      <c r="A6037" s="8"/>
      <c r="B6037" s="9"/>
      <c r="C6037" s="8"/>
    </row>
    <row r="6038" spans="1:3" x14ac:dyDescent="0.25">
      <c r="A6038" s="8"/>
      <c r="B6038" s="9"/>
      <c r="C6038" s="8"/>
    </row>
    <row r="6039" spans="1:3" x14ac:dyDescent="0.25">
      <c r="A6039" s="8"/>
      <c r="B6039" s="9"/>
      <c r="C6039" s="8"/>
    </row>
    <row r="6040" spans="1:3" x14ac:dyDescent="0.25">
      <c r="A6040" s="8"/>
      <c r="B6040" s="9"/>
      <c r="C6040" s="8"/>
    </row>
    <row r="6041" spans="1:3" x14ac:dyDescent="0.25">
      <c r="A6041" s="8"/>
      <c r="B6041" s="9"/>
      <c r="C6041" s="8"/>
    </row>
    <row r="6042" spans="1:3" x14ac:dyDescent="0.25">
      <c r="A6042" s="8"/>
      <c r="B6042" s="9"/>
      <c r="C6042" s="8"/>
    </row>
    <row r="6043" spans="1:3" x14ac:dyDescent="0.25">
      <c r="A6043" s="8"/>
      <c r="B6043" s="9"/>
      <c r="C6043" s="8"/>
    </row>
    <row r="6044" spans="1:3" x14ac:dyDescent="0.25">
      <c r="A6044" s="8"/>
      <c r="B6044" s="9"/>
      <c r="C6044" s="8"/>
    </row>
    <row r="6045" spans="1:3" x14ac:dyDescent="0.25">
      <c r="A6045" s="8"/>
      <c r="B6045" s="9"/>
      <c r="C6045" s="8"/>
    </row>
    <row r="6046" spans="1:3" x14ac:dyDescent="0.25">
      <c r="A6046" s="8"/>
      <c r="B6046" s="9"/>
      <c r="C6046" s="8"/>
    </row>
    <row r="6047" spans="1:3" x14ac:dyDescent="0.25">
      <c r="A6047" s="8"/>
      <c r="B6047" s="9"/>
      <c r="C6047" s="8"/>
    </row>
    <row r="6048" spans="1:3" x14ac:dyDescent="0.25">
      <c r="A6048" s="8"/>
      <c r="B6048" s="9"/>
      <c r="C6048" s="8"/>
    </row>
    <row r="6049" spans="1:3" x14ac:dyDescent="0.25">
      <c r="A6049" s="8"/>
      <c r="B6049" s="9"/>
      <c r="C6049" s="8"/>
    </row>
    <row r="6050" spans="1:3" x14ac:dyDescent="0.25">
      <c r="A6050" s="8"/>
      <c r="B6050" s="9"/>
      <c r="C6050" s="8"/>
    </row>
    <row r="6051" spans="1:3" x14ac:dyDescent="0.25">
      <c r="A6051" s="8"/>
      <c r="B6051" s="9"/>
      <c r="C6051" s="8"/>
    </row>
    <row r="6052" spans="1:3" x14ac:dyDescent="0.25">
      <c r="A6052" s="8"/>
      <c r="B6052" s="9"/>
      <c r="C6052" s="8"/>
    </row>
    <row r="6053" spans="1:3" x14ac:dyDescent="0.25">
      <c r="A6053" s="8"/>
      <c r="B6053" s="9"/>
      <c r="C6053" s="8"/>
    </row>
    <row r="6054" spans="1:3" x14ac:dyDescent="0.25">
      <c r="A6054" s="8"/>
      <c r="B6054" s="9"/>
      <c r="C6054" s="8"/>
    </row>
    <row r="6055" spans="1:3" x14ac:dyDescent="0.25">
      <c r="A6055" s="8"/>
      <c r="B6055" s="9"/>
      <c r="C6055" s="8"/>
    </row>
    <row r="6056" spans="1:3" x14ac:dyDescent="0.25">
      <c r="A6056" s="8"/>
      <c r="B6056" s="9"/>
      <c r="C6056" s="8"/>
    </row>
    <row r="6057" spans="1:3" x14ac:dyDescent="0.25">
      <c r="A6057" s="8"/>
      <c r="B6057" s="9"/>
      <c r="C6057" s="8"/>
    </row>
    <row r="6058" spans="1:3" x14ac:dyDescent="0.25">
      <c r="A6058" s="8"/>
      <c r="B6058" s="9"/>
      <c r="C6058" s="8"/>
    </row>
    <row r="6059" spans="1:3" x14ac:dyDescent="0.25">
      <c r="A6059" s="8"/>
      <c r="B6059" s="9"/>
      <c r="C6059" s="8"/>
    </row>
    <row r="6060" spans="1:3" x14ac:dyDescent="0.25">
      <c r="A6060" s="8"/>
      <c r="B6060" s="9"/>
      <c r="C6060" s="8"/>
    </row>
    <row r="6061" spans="1:3" x14ac:dyDescent="0.25">
      <c r="A6061" s="8"/>
      <c r="B6061" s="9"/>
      <c r="C6061" s="8"/>
    </row>
    <row r="6062" spans="1:3" x14ac:dyDescent="0.25">
      <c r="A6062" s="8"/>
      <c r="B6062" s="9"/>
      <c r="C6062" s="8"/>
    </row>
    <row r="6063" spans="1:3" x14ac:dyDescent="0.25">
      <c r="A6063" s="8"/>
      <c r="B6063" s="9"/>
      <c r="C6063" s="8"/>
    </row>
    <row r="6064" spans="1:3" x14ac:dyDescent="0.25">
      <c r="A6064" s="8"/>
      <c r="B6064" s="9"/>
      <c r="C6064" s="8"/>
    </row>
    <row r="6065" spans="1:3" x14ac:dyDescent="0.25">
      <c r="A6065" s="8"/>
      <c r="B6065" s="9"/>
      <c r="C6065" s="8"/>
    </row>
    <row r="6066" spans="1:3" x14ac:dyDescent="0.25">
      <c r="A6066" s="8"/>
      <c r="B6066" s="9"/>
      <c r="C6066" s="8"/>
    </row>
    <row r="6067" spans="1:3" x14ac:dyDescent="0.25">
      <c r="A6067" s="8"/>
      <c r="B6067" s="9"/>
      <c r="C6067" s="8"/>
    </row>
    <row r="6068" spans="1:3" x14ac:dyDescent="0.25">
      <c r="A6068" s="8"/>
      <c r="B6068" s="9"/>
      <c r="C6068" s="8"/>
    </row>
    <row r="6069" spans="1:3" x14ac:dyDescent="0.25">
      <c r="A6069" s="8"/>
      <c r="B6069" s="9"/>
      <c r="C6069" s="8"/>
    </row>
    <row r="6070" spans="1:3" x14ac:dyDescent="0.25">
      <c r="A6070" s="8"/>
      <c r="B6070" s="9"/>
      <c r="C6070" s="8"/>
    </row>
    <row r="6071" spans="1:3" x14ac:dyDescent="0.25">
      <c r="A6071" s="8"/>
      <c r="B6071" s="9"/>
      <c r="C6071" s="8"/>
    </row>
    <row r="6072" spans="1:3" x14ac:dyDescent="0.25">
      <c r="A6072" s="8"/>
      <c r="B6072" s="9"/>
      <c r="C6072" s="8"/>
    </row>
    <row r="6073" spans="1:3" x14ac:dyDescent="0.25">
      <c r="A6073" s="8"/>
      <c r="B6073" s="9"/>
      <c r="C6073" s="8"/>
    </row>
    <row r="6074" spans="1:3" x14ac:dyDescent="0.25">
      <c r="A6074" s="8"/>
      <c r="B6074" s="9"/>
      <c r="C6074" s="8"/>
    </row>
    <row r="6075" spans="1:3" x14ac:dyDescent="0.25">
      <c r="A6075" s="8"/>
      <c r="B6075" s="9"/>
      <c r="C6075" s="8"/>
    </row>
    <row r="6076" spans="1:3" x14ac:dyDescent="0.25">
      <c r="A6076" s="8"/>
      <c r="B6076" s="9"/>
      <c r="C6076" s="8"/>
    </row>
    <row r="6077" spans="1:3" x14ac:dyDescent="0.25">
      <c r="A6077" s="8"/>
      <c r="B6077" s="9"/>
      <c r="C6077" s="8"/>
    </row>
    <row r="6078" spans="1:3" x14ac:dyDescent="0.25">
      <c r="A6078" s="8"/>
      <c r="B6078" s="9"/>
      <c r="C6078" s="8"/>
    </row>
    <row r="6079" spans="1:3" x14ac:dyDescent="0.25">
      <c r="A6079" s="8"/>
      <c r="B6079" s="9"/>
      <c r="C6079" s="8"/>
    </row>
    <row r="6080" spans="1:3" x14ac:dyDescent="0.25">
      <c r="A6080" s="8"/>
      <c r="B6080" s="9"/>
      <c r="C6080" s="8"/>
    </row>
    <row r="6081" spans="1:3" x14ac:dyDescent="0.25">
      <c r="A6081" s="8"/>
      <c r="B6081" s="9"/>
      <c r="C6081" s="8"/>
    </row>
    <row r="6082" spans="1:3" x14ac:dyDescent="0.25">
      <c r="A6082" s="8"/>
      <c r="B6082" s="9"/>
      <c r="C6082" s="8"/>
    </row>
    <row r="6083" spans="1:3" x14ac:dyDescent="0.25">
      <c r="A6083" s="8"/>
      <c r="B6083" s="9"/>
      <c r="C6083" s="8"/>
    </row>
    <row r="6084" spans="1:3" x14ac:dyDescent="0.25">
      <c r="A6084" s="8"/>
      <c r="B6084" s="9"/>
      <c r="C6084" s="8"/>
    </row>
    <row r="6085" spans="1:3" x14ac:dyDescent="0.25">
      <c r="A6085" s="8"/>
      <c r="B6085" s="9"/>
      <c r="C6085" s="8"/>
    </row>
    <row r="6086" spans="1:3" x14ac:dyDescent="0.25">
      <c r="A6086" s="8"/>
      <c r="B6086" s="9"/>
      <c r="C6086" s="8"/>
    </row>
    <row r="6087" spans="1:3" x14ac:dyDescent="0.25">
      <c r="A6087" s="8"/>
      <c r="B6087" s="9"/>
      <c r="C6087" s="8"/>
    </row>
    <row r="6088" spans="1:3" x14ac:dyDescent="0.25">
      <c r="A6088" s="8"/>
      <c r="B6088" s="9"/>
      <c r="C6088" s="8"/>
    </row>
    <row r="6089" spans="1:3" x14ac:dyDescent="0.25">
      <c r="A6089" s="8"/>
      <c r="B6089" s="9"/>
      <c r="C6089" s="8"/>
    </row>
    <row r="6090" spans="1:3" x14ac:dyDescent="0.25">
      <c r="A6090" s="8"/>
      <c r="B6090" s="9"/>
      <c r="C6090" s="8"/>
    </row>
    <row r="6091" spans="1:3" x14ac:dyDescent="0.25">
      <c r="A6091" s="8"/>
      <c r="B6091" s="9"/>
      <c r="C6091" s="8"/>
    </row>
    <row r="6092" spans="1:3" x14ac:dyDescent="0.25">
      <c r="A6092" s="8"/>
      <c r="B6092" s="9"/>
      <c r="C6092" s="8"/>
    </row>
    <row r="6093" spans="1:3" x14ac:dyDescent="0.25">
      <c r="A6093" s="8"/>
      <c r="B6093" s="9"/>
      <c r="C6093" s="8"/>
    </row>
    <row r="6094" spans="1:3" x14ac:dyDescent="0.25">
      <c r="A6094" s="8"/>
      <c r="B6094" s="9"/>
      <c r="C6094" s="8"/>
    </row>
    <row r="6095" spans="1:3" x14ac:dyDescent="0.25">
      <c r="A6095" s="8"/>
      <c r="B6095" s="9"/>
      <c r="C6095" s="8"/>
    </row>
    <row r="6096" spans="1:3" x14ac:dyDescent="0.25">
      <c r="A6096" s="8"/>
      <c r="B6096" s="9"/>
      <c r="C6096" s="8"/>
    </row>
    <row r="6097" spans="1:3" x14ac:dyDescent="0.25">
      <c r="A6097" s="8"/>
      <c r="B6097" s="9"/>
      <c r="C6097" s="8"/>
    </row>
    <row r="6098" spans="1:3" x14ac:dyDescent="0.25">
      <c r="A6098" s="8"/>
      <c r="B6098" s="9"/>
      <c r="C6098" s="8"/>
    </row>
    <row r="6099" spans="1:3" x14ac:dyDescent="0.25">
      <c r="A6099" s="8"/>
      <c r="B6099" s="9"/>
      <c r="C6099" s="8"/>
    </row>
    <row r="6100" spans="1:3" x14ac:dyDescent="0.25">
      <c r="A6100" s="8"/>
      <c r="B6100" s="9"/>
      <c r="C6100" s="8"/>
    </row>
    <row r="6101" spans="1:3" x14ac:dyDescent="0.25">
      <c r="A6101" s="8"/>
      <c r="B6101" s="9"/>
      <c r="C6101" s="8"/>
    </row>
    <row r="6102" spans="1:3" x14ac:dyDescent="0.25">
      <c r="A6102" s="8"/>
      <c r="B6102" s="9"/>
      <c r="C6102" s="8"/>
    </row>
    <row r="6103" spans="1:3" x14ac:dyDescent="0.25">
      <c r="A6103" s="8"/>
      <c r="B6103" s="9"/>
      <c r="C6103" s="8"/>
    </row>
    <row r="6104" spans="1:3" x14ac:dyDescent="0.25">
      <c r="A6104" s="8"/>
      <c r="B6104" s="9"/>
      <c r="C6104" s="8"/>
    </row>
    <row r="6105" spans="1:3" x14ac:dyDescent="0.25">
      <c r="A6105" s="8"/>
      <c r="B6105" s="9"/>
      <c r="C6105" s="8"/>
    </row>
    <row r="6106" spans="1:3" x14ac:dyDescent="0.25">
      <c r="A6106" s="8"/>
      <c r="B6106" s="9"/>
      <c r="C6106" s="8"/>
    </row>
    <row r="6107" spans="1:3" x14ac:dyDescent="0.25">
      <c r="A6107" s="8"/>
      <c r="B6107" s="9"/>
      <c r="C6107" s="8"/>
    </row>
    <row r="6108" spans="1:3" x14ac:dyDescent="0.25">
      <c r="A6108" s="8"/>
      <c r="B6108" s="9"/>
      <c r="C6108" s="8"/>
    </row>
    <row r="6109" spans="1:3" x14ac:dyDescent="0.25">
      <c r="A6109" s="8"/>
      <c r="B6109" s="9"/>
      <c r="C6109" s="8"/>
    </row>
    <row r="6110" spans="1:3" x14ac:dyDescent="0.25">
      <c r="A6110" s="8"/>
      <c r="B6110" s="9"/>
      <c r="C6110" s="8"/>
    </row>
    <row r="6111" spans="1:3" x14ac:dyDescent="0.25">
      <c r="A6111" s="8"/>
      <c r="B6111" s="9"/>
      <c r="C6111" s="8"/>
    </row>
    <row r="6112" spans="1:3" x14ac:dyDescent="0.25">
      <c r="A6112" s="8"/>
      <c r="B6112" s="9"/>
      <c r="C6112" s="8"/>
    </row>
    <row r="6113" spans="1:3" x14ac:dyDescent="0.25">
      <c r="A6113" s="8"/>
      <c r="B6113" s="9"/>
      <c r="C6113" s="8"/>
    </row>
    <row r="6114" spans="1:3" x14ac:dyDescent="0.25">
      <c r="A6114" s="8"/>
      <c r="B6114" s="9"/>
      <c r="C6114" s="8"/>
    </row>
    <row r="6115" spans="1:3" x14ac:dyDescent="0.25">
      <c r="A6115" s="8"/>
      <c r="B6115" s="9"/>
      <c r="C6115" s="8"/>
    </row>
    <row r="6116" spans="1:3" x14ac:dyDescent="0.25">
      <c r="A6116" s="8"/>
      <c r="B6116" s="9"/>
      <c r="C6116" s="8"/>
    </row>
    <row r="6117" spans="1:3" x14ac:dyDescent="0.25">
      <c r="A6117" s="8"/>
      <c r="B6117" s="9"/>
      <c r="C6117" s="8"/>
    </row>
    <row r="6118" spans="1:3" x14ac:dyDescent="0.25">
      <c r="A6118" s="8"/>
      <c r="B6118" s="9"/>
      <c r="C6118" s="8"/>
    </row>
    <row r="6119" spans="1:3" x14ac:dyDescent="0.25">
      <c r="A6119" s="8"/>
      <c r="B6119" s="9"/>
      <c r="C6119" s="8"/>
    </row>
    <row r="6120" spans="1:3" x14ac:dyDescent="0.25">
      <c r="A6120" s="8"/>
      <c r="B6120" s="9"/>
      <c r="C6120" s="8"/>
    </row>
    <row r="6121" spans="1:3" x14ac:dyDescent="0.25">
      <c r="A6121" s="8"/>
      <c r="B6121" s="9"/>
      <c r="C6121" s="8"/>
    </row>
    <row r="6122" spans="1:3" x14ac:dyDescent="0.25">
      <c r="A6122" s="8"/>
      <c r="B6122" s="9"/>
      <c r="C6122" s="8"/>
    </row>
    <row r="6123" spans="1:3" x14ac:dyDescent="0.25">
      <c r="A6123" s="8"/>
      <c r="B6123" s="9"/>
      <c r="C6123" s="8"/>
    </row>
    <row r="6124" spans="1:3" x14ac:dyDescent="0.25">
      <c r="A6124" s="8"/>
      <c r="B6124" s="9"/>
      <c r="C6124" s="8"/>
    </row>
    <row r="6125" spans="1:3" x14ac:dyDescent="0.25">
      <c r="A6125" s="8"/>
      <c r="B6125" s="9"/>
      <c r="C6125" s="8"/>
    </row>
    <row r="6126" spans="1:3" x14ac:dyDescent="0.25">
      <c r="A6126" s="8"/>
      <c r="B6126" s="9"/>
      <c r="C6126" s="8"/>
    </row>
    <row r="6127" spans="1:3" x14ac:dyDescent="0.25">
      <c r="A6127" s="8"/>
      <c r="B6127" s="9"/>
      <c r="C6127" s="8"/>
    </row>
    <row r="6128" spans="1:3" x14ac:dyDescent="0.25">
      <c r="A6128" s="8"/>
      <c r="B6128" s="9"/>
      <c r="C6128" s="8"/>
    </row>
    <row r="6129" spans="1:3" x14ac:dyDescent="0.25">
      <c r="A6129" s="8"/>
      <c r="B6129" s="9"/>
      <c r="C6129" s="8"/>
    </row>
    <row r="6130" spans="1:3" x14ac:dyDescent="0.25">
      <c r="A6130" s="8"/>
      <c r="B6130" s="9"/>
      <c r="C6130" s="8"/>
    </row>
    <row r="6131" spans="1:3" x14ac:dyDescent="0.25">
      <c r="A6131" s="8"/>
      <c r="B6131" s="9"/>
      <c r="C6131" s="8"/>
    </row>
    <row r="6132" spans="1:3" x14ac:dyDescent="0.25">
      <c r="A6132" s="8"/>
      <c r="B6132" s="9"/>
      <c r="C6132" s="8"/>
    </row>
    <row r="6133" spans="1:3" x14ac:dyDescent="0.25">
      <c r="A6133" s="8"/>
      <c r="B6133" s="9"/>
      <c r="C6133" s="8"/>
    </row>
    <row r="6134" spans="1:3" x14ac:dyDescent="0.25">
      <c r="A6134" s="8"/>
      <c r="B6134" s="9"/>
      <c r="C6134" s="8"/>
    </row>
    <row r="6135" spans="1:3" x14ac:dyDescent="0.25">
      <c r="A6135" s="8"/>
      <c r="B6135" s="9"/>
      <c r="C6135" s="8"/>
    </row>
    <row r="6136" spans="1:3" x14ac:dyDescent="0.25">
      <c r="A6136" s="8"/>
      <c r="B6136" s="9"/>
      <c r="C6136" s="8"/>
    </row>
    <row r="6137" spans="1:3" x14ac:dyDescent="0.25">
      <c r="A6137" s="8"/>
      <c r="B6137" s="9"/>
      <c r="C6137" s="8"/>
    </row>
    <row r="6138" spans="1:3" x14ac:dyDescent="0.25">
      <c r="A6138" s="8"/>
      <c r="B6138" s="9"/>
      <c r="C6138" s="8"/>
    </row>
    <row r="6139" spans="1:3" x14ac:dyDescent="0.25">
      <c r="A6139" s="8"/>
      <c r="B6139" s="9"/>
      <c r="C6139" s="8"/>
    </row>
    <row r="6140" spans="1:3" x14ac:dyDescent="0.25">
      <c r="A6140" s="8"/>
      <c r="B6140" s="9"/>
      <c r="C6140" s="8"/>
    </row>
    <row r="6141" spans="1:3" x14ac:dyDescent="0.25">
      <c r="A6141" s="8"/>
      <c r="B6141" s="9"/>
      <c r="C6141" s="8"/>
    </row>
    <row r="6142" spans="1:3" x14ac:dyDescent="0.25">
      <c r="A6142" s="8"/>
      <c r="B6142" s="9"/>
      <c r="C6142" s="8"/>
    </row>
    <row r="6143" spans="1:3" x14ac:dyDescent="0.25">
      <c r="A6143" s="8"/>
      <c r="B6143" s="9"/>
      <c r="C6143" s="8"/>
    </row>
    <row r="6144" spans="1:3" x14ac:dyDescent="0.25">
      <c r="A6144" s="8"/>
      <c r="B6144" s="9"/>
      <c r="C6144" s="8"/>
    </row>
    <row r="6145" spans="1:3" x14ac:dyDescent="0.25">
      <c r="A6145" s="8"/>
      <c r="B6145" s="9"/>
      <c r="C6145" s="8"/>
    </row>
    <row r="6146" spans="1:3" x14ac:dyDescent="0.25">
      <c r="A6146" s="8"/>
      <c r="B6146" s="9"/>
      <c r="C6146" s="8"/>
    </row>
    <row r="6147" spans="1:3" x14ac:dyDescent="0.25">
      <c r="A6147" s="8"/>
      <c r="B6147" s="9"/>
      <c r="C6147" s="8"/>
    </row>
    <row r="6148" spans="1:3" x14ac:dyDescent="0.25">
      <c r="A6148" s="8"/>
      <c r="B6148" s="9"/>
      <c r="C6148" s="8"/>
    </row>
    <row r="6149" spans="1:3" x14ac:dyDescent="0.25">
      <c r="A6149" s="8"/>
      <c r="B6149" s="9"/>
      <c r="C6149" s="8"/>
    </row>
    <row r="6150" spans="1:3" x14ac:dyDescent="0.25">
      <c r="A6150" s="8"/>
      <c r="B6150" s="9"/>
      <c r="C6150" s="8"/>
    </row>
    <row r="6151" spans="1:3" x14ac:dyDescent="0.25">
      <c r="A6151" s="8"/>
      <c r="B6151" s="9"/>
      <c r="C6151" s="8"/>
    </row>
    <row r="6152" spans="1:3" x14ac:dyDescent="0.25">
      <c r="A6152" s="8"/>
      <c r="B6152" s="9"/>
      <c r="C6152" s="8"/>
    </row>
    <row r="6153" spans="1:3" x14ac:dyDescent="0.25">
      <c r="A6153" s="8"/>
      <c r="B6153" s="9"/>
      <c r="C6153" s="8"/>
    </row>
    <row r="6154" spans="1:3" x14ac:dyDescent="0.25">
      <c r="A6154" s="8"/>
      <c r="B6154" s="9"/>
      <c r="C6154" s="8"/>
    </row>
    <row r="6155" spans="1:3" x14ac:dyDescent="0.25">
      <c r="A6155" s="8"/>
      <c r="B6155" s="9"/>
      <c r="C6155" s="8"/>
    </row>
    <row r="6156" spans="1:3" x14ac:dyDescent="0.25">
      <c r="A6156" s="8"/>
      <c r="B6156" s="9"/>
      <c r="C6156" s="8"/>
    </row>
    <row r="6157" spans="1:3" x14ac:dyDescent="0.25">
      <c r="A6157" s="8"/>
      <c r="B6157" s="9"/>
      <c r="C6157" s="8"/>
    </row>
    <row r="6158" spans="1:3" x14ac:dyDescent="0.25">
      <c r="A6158" s="8"/>
      <c r="B6158" s="9"/>
      <c r="C6158" s="8"/>
    </row>
    <row r="6159" spans="1:3" x14ac:dyDescent="0.25">
      <c r="A6159" s="8"/>
      <c r="B6159" s="9"/>
      <c r="C6159" s="8"/>
    </row>
    <row r="6160" spans="1:3" x14ac:dyDescent="0.25">
      <c r="A6160" s="8"/>
      <c r="B6160" s="9"/>
      <c r="C6160" s="8"/>
    </row>
    <row r="6161" spans="1:3" x14ac:dyDescent="0.25">
      <c r="A6161" s="8"/>
      <c r="B6161" s="9"/>
      <c r="C6161" s="8"/>
    </row>
    <row r="6162" spans="1:3" x14ac:dyDescent="0.25">
      <c r="A6162" s="8"/>
      <c r="B6162" s="9"/>
      <c r="C6162" s="8"/>
    </row>
    <row r="6163" spans="1:3" x14ac:dyDescent="0.25">
      <c r="A6163" s="8"/>
      <c r="B6163" s="9"/>
      <c r="C6163" s="8"/>
    </row>
    <row r="6164" spans="1:3" x14ac:dyDescent="0.25">
      <c r="A6164" s="8"/>
      <c r="B6164" s="9"/>
      <c r="C6164" s="8"/>
    </row>
    <row r="6165" spans="1:3" x14ac:dyDescent="0.25">
      <c r="A6165" s="8"/>
      <c r="B6165" s="9"/>
      <c r="C6165" s="8"/>
    </row>
    <row r="6166" spans="1:3" x14ac:dyDescent="0.25">
      <c r="A6166" s="8"/>
      <c r="B6166" s="9"/>
      <c r="C6166" s="8"/>
    </row>
    <row r="6167" spans="1:3" x14ac:dyDescent="0.25">
      <c r="A6167" s="8"/>
      <c r="B6167" s="9"/>
      <c r="C6167" s="8"/>
    </row>
    <row r="6168" spans="1:3" x14ac:dyDescent="0.25">
      <c r="A6168" s="8"/>
      <c r="B6168" s="9"/>
      <c r="C6168" s="8"/>
    </row>
    <row r="6169" spans="1:3" x14ac:dyDescent="0.25">
      <c r="A6169" s="8"/>
      <c r="B6169" s="9"/>
      <c r="C6169" s="8"/>
    </row>
    <row r="6170" spans="1:3" x14ac:dyDescent="0.25">
      <c r="A6170" s="8"/>
      <c r="B6170" s="9"/>
      <c r="C6170" s="8"/>
    </row>
    <row r="6171" spans="1:3" x14ac:dyDescent="0.25">
      <c r="A6171" s="8"/>
      <c r="B6171" s="9"/>
      <c r="C6171" s="8"/>
    </row>
    <row r="6172" spans="1:3" x14ac:dyDescent="0.25">
      <c r="A6172" s="8"/>
      <c r="B6172" s="9"/>
      <c r="C6172" s="8"/>
    </row>
    <row r="6173" spans="1:3" x14ac:dyDescent="0.25">
      <c r="A6173" s="8"/>
      <c r="B6173" s="9"/>
      <c r="C6173" s="8"/>
    </row>
    <row r="6174" spans="1:3" x14ac:dyDescent="0.25">
      <c r="A6174" s="8"/>
      <c r="B6174" s="9"/>
      <c r="C6174" s="8"/>
    </row>
    <row r="6175" spans="1:3" x14ac:dyDescent="0.25">
      <c r="A6175" s="8"/>
      <c r="B6175" s="9"/>
      <c r="C6175" s="8"/>
    </row>
    <row r="6176" spans="1:3" x14ac:dyDescent="0.25">
      <c r="A6176" s="8"/>
      <c r="B6176" s="9"/>
      <c r="C6176" s="8"/>
    </row>
    <row r="6177" spans="1:3" x14ac:dyDescent="0.25">
      <c r="A6177" s="8"/>
      <c r="B6177" s="9"/>
      <c r="C6177" s="8"/>
    </row>
    <row r="6178" spans="1:3" x14ac:dyDescent="0.25">
      <c r="A6178" s="8"/>
      <c r="B6178" s="9"/>
      <c r="C6178" s="8"/>
    </row>
    <row r="6179" spans="1:3" x14ac:dyDescent="0.25">
      <c r="A6179" s="8"/>
      <c r="B6179" s="9"/>
      <c r="C6179" s="8"/>
    </row>
    <row r="6180" spans="1:3" x14ac:dyDescent="0.25">
      <c r="A6180" s="8"/>
      <c r="B6180" s="9"/>
      <c r="C6180" s="8"/>
    </row>
    <row r="6181" spans="1:3" x14ac:dyDescent="0.25">
      <c r="A6181" s="8"/>
      <c r="B6181" s="9"/>
      <c r="C6181" s="8"/>
    </row>
    <row r="6182" spans="1:3" x14ac:dyDescent="0.25">
      <c r="A6182" s="8"/>
      <c r="B6182" s="9"/>
      <c r="C6182" s="8"/>
    </row>
    <row r="6183" spans="1:3" x14ac:dyDescent="0.25">
      <c r="A6183" s="8"/>
      <c r="B6183" s="9"/>
      <c r="C6183" s="8"/>
    </row>
    <row r="6184" spans="1:3" x14ac:dyDescent="0.25">
      <c r="A6184" s="8"/>
      <c r="B6184" s="9"/>
      <c r="C6184" s="8"/>
    </row>
    <row r="6185" spans="1:3" x14ac:dyDescent="0.25">
      <c r="A6185" s="8"/>
      <c r="B6185" s="9"/>
      <c r="C6185" s="8"/>
    </row>
    <row r="6186" spans="1:3" x14ac:dyDescent="0.25">
      <c r="A6186" s="8"/>
      <c r="B6186" s="9"/>
      <c r="C6186" s="8"/>
    </row>
    <row r="6187" spans="1:3" x14ac:dyDescent="0.25">
      <c r="A6187" s="8"/>
      <c r="B6187" s="9"/>
      <c r="C6187" s="8"/>
    </row>
    <row r="6188" spans="1:3" x14ac:dyDescent="0.25">
      <c r="A6188" s="8"/>
      <c r="B6188" s="9"/>
      <c r="C6188" s="8"/>
    </row>
    <row r="6189" spans="1:3" x14ac:dyDescent="0.25">
      <c r="A6189" s="8"/>
      <c r="B6189" s="9"/>
      <c r="C6189" s="8"/>
    </row>
    <row r="6190" spans="1:3" x14ac:dyDescent="0.25">
      <c r="A6190" s="8"/>
      <c r="B6190" s="9"/>
      <c r="C6190" s="8"/>
    </row>
    <row r="6191" spans="1:3" x14ac:dyDescent="0.25">
      <c r="A6191" s="8"/>
      <c r="B6191" s="9"/>
      <c r="C6191" s="8"/>
    </row>
    <row r="6192" spans="1:3" x14ac:dyDescent="0.25">
      <c r="A6192" s="8"/>
      <c r="B6192" s="9"/>
      <c r="C6192" s="8"/>
    </row>
    <row r="6193" spans="1:3" x14ac:dyDescent="0.25">
      <c r="A6193" s="8"/>
      <c r="B6193" s="9"/>
      <c r="C6193" s="8"/>
    </row>
    <row r="6194" spans="1:3" x14ac:dyDescent="0.25">
      <c r="A6194" s="8"/>
      <c r="B6194" s="9"/>
      <c r="C6194" s="8"/>
    </row>
    <row r="6195" spans="1:3" x14ac:dyDescent="0.25">
      <c r="A6195" s="8"/>
      <c r="B6195" s="9"/>
      <c r="C6195" s="8"/>
    </row>
    <row r="6196" spans="1:3" x14ac:dyDescent="0.25">
      <c r="A6196" s="8"/>
      <c r="B6196" s="9"/>
      <c r="C6196" s="8"/>
    </row>
    <row r="6197" spans="1:3" x14ac:dyDescent="0.25">
      <c r="A6197" s="8"/>
      <c r="B6197" s="9"/>
      <c r="C6197" s="8"/>
    </row>
    <row r="6198" spans="1:3" x14ac:dyDescent="0.25">
      <c r="A6198" s="8"/>
      <c r="B6198" s="9"/>
      <c r="C6198" s="8"/>
    </row>
    <row r="6199" spans="1:3" x14ac:dyDescent="0.25">
      <c r="A6199" s="8"/>
      <c r="B6199" s="9"/>
      <c r="C6199" s="8"/>
    </row>
    <row r="6200" spans="1:3" x14ac:dyDescent="0.25">
      <c r="A6200" s="8"/>
      <c r="B6200" s="9"/>
      <c r="C6200" s="8"/>
    </row>
    <row r="6201" spans="1:3" x14ac:dyDescent="0.25">
      <c r="A6201" s="8"/>
      <c r="B6201" s="9"/>
      <c r="C6201" s="8"/>
    </row>
    <row r="6202" spans="1:3" x14ac:dyDescent="0.25">
      <c r="A6202" s="8"/>
      <c r="B6202" s="9"/>
      <c r="C6202" s="8"/>
    </row>
    <row r="6203" spans="1:3" x14ac:dyDescent="0.25">
      <c r="A6203" s="8"/>
      <c r="B6203" s="9"/>
      <c r="C6203" s="8"/>
    </row>
    <row r="6204" spans="1:3" x14ac:dyDescent="0.25">
      <c r="A6204" s="8"/>
      <c r="B6204" s="9"/>
      <c r="C6204" s="8"/>
    </row>
    <row r="6205" spans="1:3" x14ac:dyDescent="0.25">
      <c r="A6205" s="8"/>
      <c r="B6205" s="9"/>
      <c r="C6205" s="8"/>
    </row>
    <row r="6206" spans="1:3" x14ac:dyDescent="0.25">
      <c r="A6206" s="8"/>
      <c r="B6206" s="9"/>
      <c r="C6206" s="8"/>
    </row>
    <row r="6207" spans="1:3" x14ac:dyDescent="0.25">
      <c r="A6207" s="8"/>
      <c r="B6207" s="9"/>
      <c r="C6207" s="8"/>
    </row>
    <row r="6208" spans="1:3" x14ac:dyDescent="0.25">
      <c r="A6208" s="8"/>
      <c r="B6208" s="9"/>
      <c r="C6208" s="8"/>
    </row>
    <row r="6209" spans="1:3" x14ac:dyDescent="0.25">
      <c r="A6209" s="8"/>
      <c r="B6209" s="9"/>
      <c r="C6209" s="8"/>
    </row>
    <row r="6210" spans="1:3" x14ac:dyDescent="0.25">
      <c r="A6210" s="8"/>
      <c r="B6210" s="9"/>
      <c r="C6210" s="8"/>
    </row>
    <row r="6211" spans="1:3" x14ac:dyDescent="0.25">
      <c r="A6211" s="8"/>
      <c r="B6211" s="9"/>
      <c r="C6211" s="8"/>
    </row>
    <row r="6212" spans="1:3" x14ac:dyDescent="0.25">
      <c r="A6212" s="8"/>
      <c r="B6212" s="9"/>
      <c r="C6212" s="8"/>
    </row>
    <row r="6213" spans="1:3" x14ac:dyDescent="0.25">
      <c r="A6213" s="8"/>
      <c r="B6213" s="9"/>
      <c r="C6213" s="8"/>
    </row>
    <row r="6214" spans="1:3" x14ac:dyDescent="0.25">
      <c r="A6214" s="8"/>
      <c r="B6214" s="9"/>
      <c r="C6214" s="8"/>
    </row>
    <row r="6215" spans="1:3" x14ac:dyDescent="0.25">
      <c r="A6215" s="8"/>
      <c r="B6215" s="9"/>
      <c r="C6215" s="8"/>
    </row>
    <row r="6216" spans="1:3" x14ac:dyDescent="0.25">
      <c r="A6216" s="8"/>
      <c r="B6216" s="9"/>
      <c r="C6216" s="8"/>
    </row>
    <row r="6217" spans="1:3" x14ac:dyDescent="0.25">
      <c r="A6217" s="8"/>
      <c r="B6217" s="9"/>
      <c r="C6217" s="8"/>
    </row>
    <row r="6218" spans="1:3" x14ac:dyDescent="0.25">
      <c r="A6218" s="8"/>
      <c r="B6218" s="9"/>
      <c r="C6218" s="8"/>
    </row>
    <row r="6219" spans="1:3" x14ac:dyDescent="0.25">
      <c r="A6219" s="8"/>
      <c r="B6219" s="9"/>
      <c r="C6219" s="8"/>
    </row>
    <row r="6220" spans="1:3" x14ac:dyDescent="0.25">
      <c r="A6220" s="8"/>
      <c r="B6220" s="9"/>
      <c r="C6220" s="8"/>
    </row>
    <row r="6221" spans="1:3" x14ac:dyDescent="0.25">
      <c r="A6221" s="8"/>
      <c r="B6221" s="9"/>
      <c r="C6221" s="8"/>
    </row>
    <row r="6222" spans="1:3" x14ac:dyDescent="0.25">
      <c r="A6222" s="8"/>
      <c r="B6222" s="9"/>
      <c r="C6222" s="8"/>
    </row>
    <row r="6223" spans="1:3" x14ac:dyDescent="0.25">
      <c r="A6223" s="8"/>
      <c r="B6223" s="9"/>
      <c r="C6223" s="8"/>
    </row>
    <row r="6224" spans="1:3" x14ac:dyDescent="0.25">
      <c r="A6224" s="8"/>
      <c r="B6224" s="9"/>
      <c r="C6224" s="8"/>
    </row>
    <row r="6225" spans="1:3" x14ac:dyDescent="0.25">
      <c r="A6225" s="8"/>
      <c r="B6225" s="9"/>
      <c r="C6225" s="8"/>
    </row>
    <row r="6226" spans="1:3" x14ac:dyDescent="0.25">
      <c r="A6226" s="8"/>
      <c r="B6226" s="9"/>
      <c r="C6226" s="8"/>
    </row>
    <row r="6227" spans="1:3" x14ac:dyDescent="0.25">
      <c r="A6227" s="8"/>
      <c r="B6227" s="9"/>
      <c r="C6227" s="8"/>
    </row>
    <row r="6228" spans="1:3" x14ac:dyDescent="0.25">
      <c r="A6228" s="8"/>
      <c r="B6228" s="9"/>
      <c r="C6228" s="8"/>
    </row>
    <row r="6229" spans="1:3" x14ac:dyDescent="0.25">
      <c r="A6229" s="8"/>
      <c r="B6229" s="9"/>
      <c r="C6229" s="8"/>
    </row>
    <row r="6230" spans="1:3" x14ac:dyDescent="0.25">
      <c r="A6230" s="8"/>
      <c r="B6230" s="9"/>
      <c r="C6230" s="8"/>
    </row>
    <row r="6231" spans="1:3" x14ac:dyDescent="0.25">
      <c r="A6231" s="8"/>
      <c r="B6231" s="9"/>
      <c r="C6231" s="8"/>
    </row>
    <row r="6232" spans="1:3" x14ac:dyDescent="0.25">
      <c r="A6232" s="8"/>
      <c r="B6232" s="9"/>
      <c r="C6232" s="8"/>
    </row>
    <row r="6233" spans="1:3" x14ac:dyDescent="0.25">
      <c r="A6233" s="8"/>
      <c r="B6233" s="9"/>
      <c r="C6233" s="8"/>
    </row>
    <row r="6234" spans="1:3" x14ac:dyDescent="0.25">
      <c r="A6234" s="8"/>
      <c r="B6234" s="9"/>
      <c r="C6234" s="8"/>
    </row>
    <row r="6235" spans="1:3" x14ac:dyDescent="0.25">
      <c r="A6235" s="8"/>
      <c r="B6235" s="9"/>
      <c r="C6235" s="8"/>
    </row>
    <row r="6236" spans="1:3" x14ac:dyDescent="0.25">
      <c r="A6236" s="8"/>
      <c r="B6236" s="9"/>
      <c r="C6236" s="8"/>
    </row>
    <row r="6237" spans="1:3" x14ac:dyDescent="0.25">
      <c r="A6237" s="8"/>
      <c r="B6237" s="9"/>
      <c r="C6237" s="8"/>
    </row>
    <row r="6238" spans="1:3" x14ac:dyDescent="0.25">
      <c r="A6238" s="8"/>
      <c r="B6238" s="9"/>
      <c r="C6238" s="8"/>
    </row>
    <row r="6239" spans="1:3" x14ac:dyDescent="0.25">
      <c r="A6239" s="8"/>
      <c r="B6239" s="9"/>
      <c r="C6239" s="8"/>
    </row>
    <row r="6240" spans="1:3" x14ac:dyDescent="0.25">
      <c r="A6240" s="8"/>
      <c r="B6240" s="9"/>
      <c r="C6240" s="8"/>
    </row>
    <row r="6241" spans="1:3" x14ac:dyDescent="0.25">
      <c r="A6241" s="8"/>
      <c r="B6241" s="9"/>
      <c r="C6241" s="8"/>
    </row>
    <row r="6242" spans="1:3" x14ac:dyDescent="0.25">
      <c r="A6242" s="8"/>
      <c r="B6242" s="9"/>
      <c r="C6242" s="8"/>
    </row>
    <row r="6243" spans="1:3" x14ac:dyDescent="0.25">
      <c r="A6243" s="8"/>
      <c r="B6243" s="9"/>
      <c r="C6243" s="8"/>
    </row>
    <row r="6244" spans="1:3" x14ac:dyDescent="0.25">
      <c r="A6244" s="8"/>
      <c r="B6244" s="9"/>
      <c r="C6244" s="8"/>
    </row>
    <row r="6245" spans="1:3" x14ac:dyDescent="0.25">
      <c r="A6245" s="8"/>
      <c r="B6245" s="9"/>
      <c r="C6245" s="8"/>
    </row>
    <row r="6246" spans="1:3" x14ac:dyDescent="0.25">
      <c r="A6246" s="8"/>
      <c r="B6246" s="9"/>
      <c r="C6246" s="8"/>
    </row>
    <row r="6247" spans="1:3" x14ac:dyDescent="0.25">
      <c r="A6247" s="8"/>
      <c r="B6247" s="9"/>
      <c r="C6247" s="8"/>
    </row>
    <row r="6248" spans="1:3" x14ac:dyDescent="0.25">
      <c r="A6248" s="8"/>
      <c r="B6248" s="9"/>
      <c r="C6248" s="8"/>
    </row>
    <row r="6249" spans="1:3" x14ac:dyDescent="0.25">
      <c r="A6249" s="8"/>
      <c r="B6249" s="9"/>
      <c r="C6249" s="8"/>
    </row>
    <row r="6250" spans="1:3" x14ac:dyDescent="0.25">
      <c r="A6250" s="8"/>
      <c r="B6250" s="9"/>
      <c r="C6250" s="8"/>
    </row>
    <row r="6251" spans="1:3" x14ac:dyDescent="0.25">
      <c r="A6251" s="8"/>
      <c r="B6251" s="9"/>
      <c r="C6251" s="8"/>
    </row>
    <row r="6252" spans="1:3" x14ac:dyDescent="0.25">
      <c r="A6252" s="8"/>
      <c r="B6252" s="9"/>
      <c r="C6252" s="8"/>
    </row>
    <row r="6253" spans="1:3" x14ac:dyDescent="0.25">
      <c r="A6253" s="8"/>
      <c r="B6253" s="9"/>
      <c r="C6253" s="8"/>
    </row>
    <row r="6254" spans="1:3" x14ac:dyDescent="0.25">
      <c r="A6254" s="8"/>
      <c r="B6254" s="9"/>
      <c r="C6254" s="8"/>
    </row>
    <row r="6255" spans="1:3" x14ac:dyDescent="0.25">
      <c r="A6255" s="8"/>
      <c r="B6255" s="9"/>
      <c r="C6255" s="8"/>
    </row>
    <row r="6256" spans="1:3" x14ac:dyDescent="0.25">
      <c r="A6256" s="8"/>
      <c r="B6256" s="9"/>
      <c r="C6256" s="8"/>
    </row>
    <row r="6257" spans="1:3" x14ac:dyDescent="0.25">
      <c r="A6257" s="8"/>
      <c r="B6257" s="9"/>
      <c r="C6257" s="8"/>
    </row>
    <row r="6258" spans="1:3" x14ac:dyDescent="0.25">
      <c r="A6258" s="8"/>
      <c r="B6258" s="9"/>
      <c r="C6258" s="8"/>
    </row>
    <row r="6259" spans="1:3" x14ac:dyDescent="0.25">
      <c r="A6259" s="8"/>
      <c r="B6259" s="9"/>
      <c r="C6259" s="8"/>
    </row>
    <row r="6260" spans="1:3" x14ac:dyDescent="0.25">
      <c r="A6260" s="8"/>
      <c r="B6260" s="9"/>
      <c r="C6260" s="8"/>
    </row>
    <row r="6261" spans="1:3" x14ac:dyDescent="0.25">
      <c r="A6261" s="8"/>
      <c r="B6261" s="9"/>
      <c r="C6261" s="8"/>
    </row>
    <row r="6262" spans="1:3" x14ac:dyDescent="0.25">
      <c r="A6262" s="8"/>
      <c r="B6262" s="9"/>
      <c r="C6262" s="8"/>
    </row>
    <row r="6263" spans="1:3" x14ac:dyDescent="0.25">
      <c r="A6263" s="8"/>
      <c r="B6263" s="9"/>
      <c r="C6263" s="8"/>
    </row>
    <row r="6264" spans="1:3" x14ac:dyDescent="0.25">
      <c r="A6264" s="8"/>
      <c r="B6264" s="9"/>
      <c r="C6264" s="8"/>
    </row>
    <row r="6265" spans="1:3" x14ac:dyDescent="0.25">
      <c r="A6265" s="8"/>
      <c r="B6265" s="9"/>
      <c r="C6265" s="8"/>
    </row>
    <row r="6266" spans="1:3" x14ac:dyDescent="0.25">
      <c r="A6266" s="8"/>
      <c r="B6266" s="9"/>
      <c r="C6266" s="8"/>
    </row>
    <row r="6267" spans="1:3" x14ac:dyDescent="0.25">
      <c r="A6267" s="8"/>
      <c r="B6267" s="9"/>
      <c r="C6267" s="8"/>
    </row>
    <row r="6268" spans="1:3" x14ac:dyDescent="0.25">
      <c r="A6268" s="8"/>
      <c r="B6268" s="9"/>
      <c r="C6268" s="8"/>
    </row>
    <row r="6269" spans="1:3" x14ac:dyDescent="0.25">
      <c r="A6269" s="8"/>
      <c r="B6269" s="9"/>
      <c r="C6269" s="8"/>
    </row>
    <row r="6270" spans="1:3" x14ac:dyDescent="0.25">
      <c r="A6270" s="8"/>
      <c r="B6270" s="9"/>
      <c r="C6270" s="8"/>
    </row>
    <row r="6271" spans="1:3" x14ac:dyDescent="0.25">
      <c r="A6271" s="8"/>
      <c r="B6271" s="9"/>
      <c r="C6271" s="8"/>
    </row>
    <row r="6272" spans="1:3" x14ac:dyDescent="0.25">
      <c r="A6272" s="8"/>
      <c r="B6272" s="9"/>
      <c r="C6272" s="8"/>
    </row>
    <row r="6273" spans="1:3" x14ac:dyDescent="0.25">
      <c r="A6273" s="8"/>
      <c r="B6273" s="9"/>
      <c r="C6273" s="8"/>
    </row>
    <row r="6274" spans="1:3" x14ac:dyDescent="0.25">
      <c r="A6274" s="8"/>
      <c r="B6274" s="9"/>
      <c r="C6274" s="8"/>
    </row>
    <row r="6275" spans="1:3" x14ac:dyDescent="0.25">
      <c r="A6275" s="8"/>
      <c r="B6275" s="9"/>
      <c r="C6275" s="8"/>
    </row>
    <row r="6276" spans="1:3" x14ac:dyDescent="0.25">
      <c r="A6276" s="8"/>
      <c r="B6276" s="9"/>
      <c r="C6276" s="8"/>
    </row>
    <row r="6277" spans="1:3" x14ac:dyDescent="0.25">
      <c r="A6277" s="8"/>
      <c r="B6277" s="9"/>
      <c r="C6277" s="8"/>
    </row>
    <row r="6278" spans="1:3" x14ac:dyDescent="0.25">
      <c r="A6278" s="8"/>
      <c r="B6278" s="9"/>
      <c r="C6278" s="8"/>
    </row>
    <row r="6279" spans="1:3" x14ac:dyDescent="0.25">
      <c r="A6279" s="8"/>
      <c r="B6279" s="9"/>
      <c r="C6279" s="8"/>
    </row>
    <row r="6280" spans="1:3" x14ac:dyDescent="0.25">
      <c r="A6280" s="8"/>
      <c r="B6280" s="9"/>
      <c r="C6280" s="8"/>
    </row>
    <row r="6281" spans="1:3" x14ac:dyDescent="0.25">
      <c r="A6281" s="8"/>
      <c r="B6281" s="9"/>
      <c r="C6281" s="8"/>
    </row>
    <row r="6282" spans="1:3" x14ac:dyDescent="0.25">
      <c r="A6282" s="8"/>
      <c r="B6282" s="9"/>
      <c r="C6282" s="8"/>
    </row>
    <row r="6283" spans="1:3" x14ac:dyDescent="0.25">
      <c r="A6283" s="8"/>
      <c r="B6283" s="9"/>
      <c r="C6283" s="8"/>
    </row>
    <row r="6284" spans="1:3" x14ac:dyDescent="0.25">
      <c r="A6284" s="8"/>
      <c r="B6284" s="9"/>
      <c r="C6284" s="8"/>
    </row>
    <row r="6285" spans="1:3" x14ac:dyDescent="0.25">
      <c r="A6285" s="8"/>
      <c r="B6285" s="9"/>
      <c r="C6285" s="8"/>
    </row>
    <row r="6286" spans="1:3" x14ac:dyDescent="0.25">
      <c r="A6286" s="8"/>
      <c r="B6286" s="9"/>
      <c r="C6286" s="8"/>
    </row>
    <row r="6287" spans="1:3" x14ac:dyDescent="0.25">
      <c r="A6287" s="8"/>
      <c r="B6287" s="9"/>
      <c r="C6287" s="8"/>
    </row>
    <row r="6288" spans="1:3" x14ac:dyDescent="0.25">
      <c r="A6288" s="8"/>
      <c r="B6288" s="9"/>
      <c r="C6288" s="8"/>
    </row>
    <row r="6289" spans="1:3" x14ac:dyDescent="0.25">
      <c r="A6289" s="8"/>
      <c r="B6289" s="9"/>
      <c r="C6289" s="8"/>
    </row>
    <row r="6290" spans="1:3" x14ac:dyDescent="0.25">
      <c r="A6290" s="8"/>
      <c r="B6290" s="9"/>
      <c r="C6290" s="8"/>
    </row>
    <row r="6291" spans="1:3" x14ac:dyDescent="0.25">
      <c r="A6291" s="8"/>
      <c r="B6291" s="9"/>
      <c r="C6291" s="8"/>
    </row>
    <row r="6292" spans="1:3" x14ac:dyDescent="0.25">
      <c r="A6292" s="8"/>
      <c r="B6292" s="9"/>
      <c r="C6292" s="8"/>
    </row>
    <row r="6293" spans="1:3" x14ac:dyDescent="0.25">
      <c r="A6293" s="8"/>
      <c r="B6293" s="9"/>
      <c r="C6293" s="8"/>
    </row>
    <row r="6294" spans="1:3" x14ac:dyDescent="0.25">
      <c r="A6294" s="8"/>
      <c r="B6294" s="9"/>
      <c r="C6294" s="8"/>
    </row>
    <row r="6295" spans="1:3" x14ac:dyDescent="0.25">
      <c r="A6295" s="8"/>
      <c r="B6295" s="9"/>
      <c r="C6295" s="8"/>
    </row>
    <row r="6296" spans="1:3" x14ac:dyDescent="0.25">
      <c r="A6296" s="8"/>
      <c r="B6296" s="9"/>
      <c r="C6296" s="8"/>
    </row>
    <row r="6297" spans="1:3" x14ac:dyDescent="0.25">
      <c r="A6297" s="8"/>
      <c r="B6297" s="9"/>
      <c r="C6297" s="8"/>
    </row>
    <row r="6298" spans="1:3" x14ac:dyDescent="0.25">
      <c r="A6298" s="8"/>
      <c r="B6298" s="9"/>
      <c r="C6298" s="8"/>
    </row>
    <row r="6299" spans="1:3" x14ac:dyDescent="0.25">
      <c r="A6299" s="8"/>
      <c r="B6299" s="9"/>
      <c r="C6299" s="8"/>
    </row>
    <row r="6300" spans="1:3" x14ac:dyDescent="0.25">
      <c r="A6300" s="8"/>
      <c r="B6300" s="9"/>
      <c r="C6300" s="8"/>
    </row>
    <row r="6301" spans="1:3" x14ac:dyDescent="0.25">
      <c r="A6301" s="8"/>
      <c r="B6301" s="9"/>
      <c r="C6301" s="8"/>
    </row>
    <row r="6302" spans="1:3" x14ac:dyDescent="0.25">
      <c r="A6302" s="8"/>
      <c r="B6302" s="9"/>
      <c r="C6302" s="8"/>
    </row>
    <row r="6303" spans="1:3" x14ac:dyDescent="0.25">
      <c r="A6303" s="8"/>
      <c r="B6303" s="9"/>
      <c r="C6303" s="8"/>
    </row>
    <row r="6304" spans="1:3" x14ac:dyDescent="0.25">
      <c r="A6304" s="8"/>
      <c r="B6304" s="9"/>
      <c r="C6304" s="8"/>
    </row>
    <row r="6305" spans="1:3" x14ac:dyDescent="0.25">
      <c r="A6305" s="8"/>
      <c r="B6305" s="9"/>
      <c r="C6305" s="8"/>
    </row>
    <row r="6306" spans="1:3" x14ac:dyDescent="0.25">
      <c r="A6306" s="8"/>
      <c r="B6306" s="9"/>
      <c r="C6306" s="8"/>
    </row>
    <row r="6307" spans="1:3" x14ac:dyDescent="0.25">
      <c r="A6307" s="8"/>
      <c r="B6307" s="9"/>
      <c r="C6307" s="8"/>
    </row>
    <row r="6308" spans="1:3" x14ac:dyDescent="0.25">
      <c r="A6308" s="8"/>
      <c r="B6308" s="9"/>
      <c r="C6308" s="8"/>
    </row>
    <row r="6309" spans="1:3" x14ac:dyDescent="0.25">
      <c r="A6309" s="8"/>
      <c r="B6309" s="9"/>
      <c r="C6309" s="8"/>
    </row>
    <row r="6310" spans="1:3" x14ac:dyDescent="0.25">
      <c r="A6310" s="8"/>
      <c r="B6310" s="9"/>
      <c r="C6310" s="8"/>
    </row>
    <row r="6311" spans="1:3" x14ac:dyDescent="0.25">
      <c r="A6311" s="8"/>
      <c r="B6311" s="9"/>
      <c r="C6311" s="8"/>
    </row>
    <row r="6312" spans="1:3" x14ac:dyDescent="0.25">
      <c r="A6312" s="8"/>
      <c r="B6312" s="9"/>
      <c r="C6312" s="8"/>
    </row>
    <row r="6313" spans="1:3" x14ac:dyDescent="0.25">
      <c r="A6313" s="8"/>
      <c r="B6313" s="9"/>
      <c r="C6313" s="8"/>
    </row>
    <row r="6314" spans="1:3" x14ac:dyDescent="0.25">
      <c r="A6314" s="8"/>
      <c r="B6314" s="9"/>
      <c r="C6314" s="8"/>
    </row>
    <row r="6315" spans="1:3" x14ac:dyDescent="0.25">
      <c r="A6315" s="8"/>
      <c r="B6315" s="9"/>
      <c r="C6315" s="8"/>
    </row>
    <row r="6316" spans="1:3" x14ac:dyDescent="0.25">
      <c r="A6316" s="8"/>
      <c r="B6316" s="9"/>
      <c r="C6316" s="8"/>
    </row>
    <row r="6317" spans="1:3" x14ac:dyDescent="0.25">
      <c r="A6317" s="8"/>
      <c r="B6317" s="9"/>
      <c r="C6317" s="8"/>
    </row>
    <row r="6318" spans="1:3" x14ac:dyDescent="0.25">
      <c r="A6318" s="8"/>
      <c r="B6318" s="9"/>
      <c r="C6318" s="8"/>
    </row>
    <row r="6319" spans="1:3" x14ac:dyDescent="0.25">
      <c r="A6319" s="8"/>
      <c r="B6319" s="9"/>
      <c r="C6319" s="8"/>
    </row>
    <row r="6320" spans="1:3" x14ac:dyDescent="0.25">
      <c r="A6320" s="8"/>
      <c r="B6320" s="9"/>
      <c r="C6320" s="8"/>
    </row>
    <row r="6321" spans="1:3" x14ac:dyDescent="0.25">
      <c r="A6321" s="8"/>
      <c r="B6321" s="9"/>
      <c r="C6321" s="8"/>
    </row>
    <row r="6322" spans="1:3" x14ac:dyDescent="0.25">
      <c r="A6322" s="8"/>
      <c r="B6322" s="9"/>
      <c r="C6322" s="8"/>
    </row>
    <row r="6323" spans="1:3" x14ac:dyDescent="0.25">
      <c r="A6323" s="8"/>
      <c r="B6323" s="9"/>
      <c r="C6323" s="8"/>
    </row>
    <row r="6324" spans="1:3" x14ac:dyDescent="0.25">
      <c r="A6324" s="8"/>
      <c r="B6324" s="9"/>
      <c r="C6324" s="8"/>
    </row>
    <row r="6325" spans="1:3" x14ac:dyDescent="0.25">
      <c r="A6325" s="8"/>
      <c r="B6325" s="9"/>
      <c r="C6325" s="8"/>
    </row>
    <row r="6326" spans="1:3" x14ac:dyDescent="0.25">
      <c r="A6326" s="8"/>
      <c r="B6326" s="9"/>
      <c r="C6326" s="8"/>
    </row>
    <row r="6327" spans="1:3" x14ac:dyDescent="0.25">
      <c r="A6327" s="8"/>
      <c r="B6327" s="9"/>
      <c r="C6327" s="8"/>
    </row>
    <row r="6328" spans="1:3" x14ac:dyDescent="0.25">
      <c r="A6328" s="8"/>
      <c r="B6328" s="9"/>
      <c r="C6328" s="8"/>
    </row>
    <row r="6329" spans="1:3" x14ac:dyDescent="0.25">
      <c r="A6329" s="8"/>
      <c r="B6329" s="9"/>
      <c r="C6329" s="8"/>
    </row>
    <row r="6330" spans="1:3" x14ac:dyDescent="0.25">
      <c r="A6330" s="8"/>
      <c r="B6330" s="9"/>
      <c r="C6330" s="8"/>
    </row>
    <row r="6331" spans="1:3" x14ac:dyDescent="0.25">
      <c r="A6331" s="8"/>
      <c r="B6331" s="9"/>
      <c r="C6331" s="8"/>
    </row>
    <row r="6332" spans="1:3" x14ac:dyDescent="0.25">
      <c r="A6332" s="8"/>
      <c r="B6332" s="9"/>
      <c r="C6332" s="8"/>
    </row>
    <row r="6333" spans="1:3" x14ac:dyDescent="0.25">
      <c r="A6333" s="8"/>
      <c r="B6333" s="9"/>
      <c r="C6333" s="8"/>
    </row>
    <row r="6334" spans="1:3" x14ac:dyDescent="0.25">
      <c r="A6334" s="8"/>
      <c r="B6334" s="9"/>
      <c r="C6334" s="8"/>
    </row>
    <row r="6335" spans="1:3" x14ac:dyDescent="0.25">
      <c r="A6335" s="8"/>
      <c r="B6335" s="9"/>
      <c r="C6335" s="8"/>
    </row>
    <row r="6336" spans="1:3" x14ac:dyDescent="0.25">
      <c r="A6336" s="8"/>
      <c r="B6336" s="9"/>
      <c r="C6336" s="8"/>
    </row>
    <row r="6337" spans="1:3" x14ac:dyDescent="0.25">
      <c r="A6337" s="8"/>
      <c r="B6337" s="9"/>
      <c r="C6337" s="8"/>
    </row>
    <row r="6338" spans="1:3" x14ac:dyDescent="0.25">
      <c r="A6338" s="8"/>
      <c r="B6338" s="9"/>
      <c r="C6338" s="8"/>
    </row>
    <row r="6339" spans="1:3" x14ac:dyDescent="0.25">
      <c r="A6339" s="8"/>
      <c r="B6339" s="9"/>
      <c r="C6339" s="8"/>
    </row>
    <row r="6340" spans="1:3" x14ac:dyDescent="0.25">
      <c r="A6340" s="8"/>
      <c r="B6340" s="9"/>
      <c r="C6340" s="8"/>
    </row>
    <row r="6341" spans="1:3" x14ac:dyDescent="0.25">
      <c r="A6341" s="8"/>
      <c r="B6341" s="9"/>
      <c r="C6341" s="8"/>
    </row>
    <row r="6342" spans="1:3" x14ac:dyDescent="0.25">
      <c r="A6342" s="8"/>
      <c r="B6342" s="9"/>
      <c r="C6342" s="8"/>
    </row>
    <row r="6343" spans="1:3" x14ac:dyDescent="0.25">
      <c r="A6343" s="8"/>
      <c r="B6343" s="9"/>
      <c r="C6343" s="8"/>
    </row>
    <row r="6344" spans="1:3" x14ac:dyDescent="0.25">
      <c r="A6344" s="8"/>
      <c r="B6344" s="9"/>
      <c r="C6344" s="8"/>
    </row>
    <row r="6345" spans="1:3" x14ac:dyDescent="0.25">
      <c r="A6345" s="8"/>
      <c r="B6345" s="9"/>
      <c r="C6345" s="8"/>
    </row>
    <row r="6346" spans="1:3" x14ac:dyDescent="0.25">
      <c r="A6346" s="8"/>
      <c r="B6346" s="9"/>
      <c r="C6346" s="8"/>
    </row>
    <row r="6347" spans="1:3" x14ac:dyDescent="0.25">
      <c r="A6347" s="8"/>
      <c r="B6347" s="9"/>
      <c r="C6347" s="8"/>
    </row>
    <row r="6348" spans="1:3" x14ac:dyDescent="0.25">
      <c r="A6348" s="8"/>
      <c r="B6348" s="9"/>
      <c r="C6348" s="8"/>
    </row>
    <row r="6349" spans="1:3" x14ac:dyDescent="0.25">
      <c r="A6349" s="8"/>
      <c r="B6349" s="9"/>
      <c r="C6349" s="8"/>
    </row>
    <row r="6350" spans="1:3" x14ac:dyDescent="0.25">
      <c r="A6350" s="8"/>
      <c r="B6350" s="9"/>
      <c r="C6350" s="8"/>
    </row>
    <row r="6351" spans="1:3" x14ac:dyDescent="0.25">
      <c r="A6351" s="8"/>
      <c r="B6351" s="9"/>
      <c r="C6351" s="8"/>
    </row>
    <row r="6352" spans="1:3" x14ac:dyDescent="0.25">
      <c r="A6352" s="8"/>
      <c r="B6352" s="9"/>
      <c r="C6352" s="8"/>
    </row>
    <row r="6353" spans="1:3" x14ac:dyDescent="0.25">
      <c r="A6353" s="8"/>
      <c r="B6353" s="9"/>
      <c r="C6353" s="8"/>
    </row>
    <row r="6354" spans="1:3" x14ac:dyDescent="0.25">
      <c r="A6354" s="8"/>
      <c r="B6354" s="9"/>
      <c r="C6354" s="8"/>
    </row>
    <row r="6355" spans="1:3" x14ac:dyDescent="0.25">
      <c r="A6355" s="8"/>
      <c r="B6355" s="9"/>
      <c r="C6355" s="8"/>
    </row>
    <row r="6356" spans="1:3" x14ac:dyDescent="0.25">
      <c r="A6356" s="8"/>
      <c r="B6356" s="9"/>
      <c r="C6356" s="8"/>
    </row>
    <row r="6357" spans="1:3" x14ac:dyDescent="0.25">
      <c r="A6357" s="8"/>
      <c r="B6357" s="9"/>
      <c r="C6357" s="8"/>
    </row>
    <row r="6358" spans="1:3" x14ac:dyDescent="0.25">
      <c r="A6358" s="8"/>
      <c r="B6358" s="9"/>
      <c r="C6358" s="8"/>
    </row>
    <row r="6359" spans="1:3" x14ac:dyDescent="0.25">
      <c r="A6359" s="8"/>
      <c r="B6359" s="9"/>
      <c r="C6359" s="8"/>
    </row>
    <row r="6360" spans="1:3" x14ac:dyDescent="0.25">
      <c r="A6360" s="8"/>
      <c r="B6360" s="9"/>
      <c r="C6360" s="8"/>
    </row>
    <row r="6361" spans="1:3" x14ac:dyDescent="0.25">
      <c r="A6361" s="8"/>
      <c r="B6361" s="9"/>
      <c r="C6361" s="8"/>
    </row>
    <row r="6362" spans="1:3" x14ac:dyDescent="0.25">
      <c r="A6362" s="8"/>
      <c r="B6362" s="9"/>
      <c r="C6362" s="8"/>
    </row>
    <row r="6363" spans="1:3" x14ac:dyDescent="0.25">
      <c r="A6363" s="8"/>
      <c r="B6363" s="9"/>
      <c r="C6363" s="8"/>
    </row>
    <row r="6364" spans="1:3" x14ac:dyDescent="0.25">
      <c r="A6364" s="8"/>
      <c r="B6364" s="9"/>
      <c r="C6364" s="8"/>
    </row>
    <row r="6365" spans="1:3" x14ac:dyDescent="0.25">
      <c r="A6365" s="8"/>
      <c r="B6365" s="9"/>
      <c r="C6365" s="8"/>
    </row>
    <row r="6366" spans="1:3" x14ac:dyDescent="0.25">
      <c r="A6366" s="8"/>
      <c r="B6366" s="9"/>
      <c r="C6366" s="8"/>
    </row>
    <row r="6367" spans="1:3" x14ac:dyDescent="0.25">
      <c r="A6367" s="8"/>
      <c r="B6367" s="9"/>
      <c r="C6367" s="8"/>
    </row>
    <row r="6368" spans="1:3" x14ac:dyDescent="0.25">
      <c r="A6368" s="8"/>
      <c r="B6368" s="9"/>
      <c r="C6368" s="8"/>
    </row>
    <row r="6369" spans="1:3" x14ac:dyDescent="0.25">
      <c r="A6369" s="8"/>
      <c r="B6369" s="9"/>
      <c r="C6369" s="8"/>
    </row>
    <row r="6370" spans="1:3" x14ac:dyDescent="0.25">
      <c r="A6370" s="8"/>
      <c r="B6370" s="9"/>
      <c r="C6370" s="8"/>
    </row>
    <row r="6371" spans="1:3" x14ac:dyDescent="0.25">
      <c r="A6371" s="8"/>
      <c r="B6371" s="9"/>
      <c r="C6371" s="8"/>
    </row>
    <row r="6372" spans="1:3" x14ac:dyDescent="0.25">
      <c r="A6372" s="8"/>
      <c r="B6372" s="9"/>
      <c r="C6372" s="8"/>
    </row>
    <row r="6373" spans="1:3" x14ac:dyDescent="0.25">
      <c r="A6373" s="8"/>
      <c r="B6373" s="9"/>
      <c r="C6373" s="8"/>
    </row>
    <row r="6374" spans="1:3" x14ac:dyDescent="0.25">
      <c r="A6374" s="8"/>
      <c r="B6374" s="9"/>
      <c r="C6374" s="8"/>
    </row>
    <row r="6375" spans="1:3" x14ac:dyDescent="0.25">
      <c r="A6375" s="8"/>
      <c r="B6375" s="9"/>
      <c r="C6375" s="8"/>
    </row>
    <row r="6376" spans="1:3" x14ac:dyDescent="0.25">
      <c r="A6376" s="8"/>
      <c r="B6376" s="9"/>
      <c r="C6376" s="8"/>
    </row>
    <row r="6377" spans="1:3" x14ac:dyDescent="0.25">
      <c r="A6377" s="8"/>
      <c r="B6377" s="9"/>
      <c r="C6377" s="8"/>
    </row>
    <row r="6378" spans="1:3" x14ac:dyDescent="0.25">
      <c r="A6378" s="8"/>
      <c r="B6378" s="9"/>
      <c r="C6378" s="8"/>
    </row>
    <row r="6379" spans="1:3" x14ac:dyDescent="0.25">
      <c r="A6379" s="8"/>
      <c r="B6379" s="9"/>
      <c r="C6379" s="8"/>
    </row>
    <row r="6380" spans="1:3" x14ac:dyDescent="0.25">
      <c r="A6380" s="8"/>
      <c r="B6380" s="9"/>
      <c r="C6380" s="8"/>
    </row>
    <row r="6381" spans="1:3" x14ac:dyDescent="0.25">
      <c r="A6381" s="8"/>
      <c r="B6381" s="9"/>
      <c r="C6381" s="8"/>
    </row>
    <row r="6382" spans="1:3" x14ac:dyDescent="0.25">
      <c r="A6382" s="8"/>
      <c r="B6382" s="9"/>
      <c r="C6382" s="8"/>
    </row>
    <row r="6383" spans="1:3" x14ac:dyDescent="0.25">
      <c r="A6383" s="8"/>
      <c r="B6383" s="9"/>
      <c r="C6383" s="8"/>
    </row>
    <row r="6384" spans="1:3" x14ac:dyDescent="0.25">
      <c r="A6384" s="8"/>
      <c r="B6384" s="9"/>
      <c r="C6384" s="8"/>
    </row>
    <row r="6385" spans="1:3" x14ac:dyDescent="0.25">
      <c r="A6385" s="8"/>
      <c r="B6385" s="9"/>
      <c r="C6385" s="8"/>
    </row>
    <row r="6386" spans="1:3" x14ac:dyDescent="0.25">
      <c r="A6386" s="8"/>
      <c r="B6386" s="9"/>
      <c r="C6386" s="8"/>
    </row>
    <row r="6387" spans="1:3" x14ac:dyDescent="0.25">
      <c r="A6387" s="8"/>
      <c r="B6387" s="9"/>
      <c r="C6387" s="8"/>
    </row>
    <row r="6388" spans="1:3" x14ac:dyDescent="0.25">
      <c r="A6388" s="8"/>
      <c r="B6388" s="9"/>
      <c r="C6388" s="8"/>
    </row>
    <row r="6389" spans="1:3" x14ac:dyDescent="0.25">
      <c r="A6389" s="8"/>
      <c r="B6389" s="9"/>
      <c r="C6389" s="8"/>
    </row>
    <row r="6390" spans="1:3" x14ac:dyDescent="0.25">
      <c r="A6390" s="8"/>
      <c r="B6390" s="9"/>
      <c r="C6390" s="8"/>
    </row>
    <row r="6391" spans="1:3" x14ac:dyDescent="0.25">
      <c r="A6391" s="8"/>
      <c r="B6391" s="9"/>
      <c r="C6391" s="8"/>
    </row>
    <row r="6392" spans="1:3" x14ac:dyDescent="0.25">
      <c r="A6392" s="8"/>
      <c r="B6392" s="9"/>
      <c r="C6392" s="8"/>
    </row>
    <row r="6393" spans="1:3" x14ac:dyDescent="0.25">
      <c r="A6393" s="8"/>
      <c r="B6393" s="9"/>
      <c r="C6393" s="8"/>
    </row>
    <row r="6394" spans="1:3" x14ac:dyDescent="0.25">
      <c r="A6394" s="8"/>
      <c r="B6394" s="9"/>
      <c r="C6394" s="8"/>
    </row>
    <row r="6395" spans="1:3" x14ac:dyDescent="0.25">
      <c r="A6395" s="8"/>
      <c r="B6395" s="9"/>
      <c r="C6395" s="8"/>
    </row>
    <row r="6396" spans="1:3" x14ac:dyDescent="0.25">
      <c r="A6396" s="8"/>
      <c r="B6396" s="9"/>
      <c r="C6396" s="8"/>
    </row>
    <row r="6397" spans="1:3" x14ac:dyDescent="0.25">
      <c r="A6397" s="8"/>
      <c r="B6397" s="9"/>
      <c r="C6397" s="8"/>
    </row>
    <row r="6398" spans="1:3" x14ac:dyDescent="0.25">
      <c r="A6398" s="8"/>
      <c r="B6398" s="9"/>
      <c r="C6398" s="8"/>
    </row>
    <row r="6399" spans="1:3" x14ac:dyDescent="0.25">
      <c r="A6399" s="8"/>
      <c r="B6399" s="9"/>
      <c r="C6399" s="8"/>
    </row>
    <row r="6400" spans="1:3" x14ac:dyDescent="0.25">
      <c r="A6400" s="8"/>
      <c r="B6400" s="9"/>
      <c r="C6400" s="8"/>
    </row>
    <row r="6401" spans="1:3" x14ac:dyDescent="0.25">
      <c r="A6401" s="8"/>
      <c r="B6401" s="9"/>
      <c r="C6401" s="8"/>
    </row>
    <row r="6402" spans="1:3" x14ac:dyDescent="0.25">
      <c r="A6402" s="8"/>
      <c r="B6402" s="9"/>
      <c r="C6402" s="8"/>
    </row>
    <row r="6403" spans="1:3" x14ac:dyDescent="0.25">
      <c r="A6403" s="8"/>
      <c r="B6403" s="9"/>
      <c r="C6403" s="8"/>
    </row>
    <row r="6404" spans="1:3" x14ac:dyDescent="0.25">
      <c r="A6404" s="8"/>
      <c r="B6404" s="9"/>
      <c r="C6404" s="8"/>
    </row>
    <row r="6405" spans="1:3" x14ac:dyDescent="0.25">
      <c r="A6405" s="8"/>
      <c r="B6405" s="9"/>
      <c r="C6405" s="8"/>
    </row>
    <row r="6406" spans="1:3" x14ac:dyDescent="0.25">
      <c r="A6406" s="10"/>
      <c r="B6406" s="9"/>
      <c r="C6406" s="8"/>
    </row>
    <row r="6407" spans="1:3" x14ac:dyDescent="0.25">
      <c r="A6407" s="10"/>
      <c r="B6407" s="9"/>
      <c r="C6407" s="8"/>
    </row>
    <row r="6408" spans="1:3" x14ac:dyDescent="0.25">
      <c r="A6408" s="10"/>
      <c r="B6408" s="9"/>
      <c r="C6408" s="8"/>
    </row>
    <row r="6409" spans="1:3" x14ac:dyDescent="0.25">
      <c r="A6409" s="10"/>
      <c r="B6409" s="9"/>
      <c r="C6409" s="8"/>
    </row>
    <row r="6410" spans="1:3" x14ac:dyDescent="0.25">
      <c r="A6410" s="10"/>
      <c r="B6410" s="9"/>
      <c r="C6410" s="8"/>
    </row>
    <row r="6411" spans="1:3" x14ac:dyDescent="0.25">
      <c r="A6411" s="10"/>
      <c r="B6411" s="9"/>
      <c r="C6411" s="8"/>
    </row>
    <row r="6412" spans="1:3" x14ac:dyDescent="0.25">
      <c r="A6412" s="10"/>
      <c r="B6412" s="9"/>
      <c r="C6412" s="8"/>
    </row>
    <row r="6413" spans="1:3" x14ac:dyDescent="0.25">
      <c r="A6413" s="10"/>
      <c r="B6413" s="9"/>
      <c r="C6413" s="8"/>
    </row>
    <row r="6414" spans="1:3" x14ac:dyDescent="0.25">
      <c r="A6414" s="10"/>
      <c r="B6414" s="9"/>
      <c r="C6414" s="8"/>
    </row>
    <row r="6415" spans="1:3" x14ac:dyDescent="0.25">
      <c r="A6415" s="10"/>
      <c r="B6415" s="9"/>
      <c r="C6415" s="8"/>
    </row>
    <row r="6416" spans="1:3" x14ac:dyDescent="0.25">
      <c r="A6416" s="10"/>
      <c r="B6416" s="9"/>
      <c r="C6416" s="8"/>
    </row>
    <row r="6417" spans="1:3" x14ac:dyDescent="0.25">
      <c r="A6417" s="10"/>
      <c r="B6417" s="9"/>
      <c r="C6417" s="8"/>
    </row>
    <row r="6418" spans="1:3" x14ac:dyDescent="0.25">
      <c r="A6418" s="10"/>
      <c r="B6418" s="9"/>
      <c r="C6418" s="8"/>
    </row>
    <row r="6419" spans="1:3" x14ac:dyDescent="0.25">
      <c r="A6419" s="10"/>
      <c r="B6419" s="9"/>
      <c r="C6419" s="8"/>
    </row>
    <row r="6420" spans="1:3" x14ac:dyDescent="0.25">
      <c r="A6420" s="10"/>
      <c r="B6420" s="9"/>
      <c r="C6420" s="8"/>
    </row>
    <row r="6421" spans="1:3" x14ac:dyDescent="0.25">
      <c r="A6421" s="10"/>
      <c r="B6421" s="9"/>
      <c r="C6421" s="8"/>
    </row>
    <row r="6422" spans="1:3" x14ac:dyDescent="0.25">
      <c r="A6422" s="10"/>
      <c r="B6422" s="9"/>
      <c r="C6422" s="8"/>
    </row>
    <row r="6423" spans="1:3" x14ac:dyDescent="0.25">
      <c r="A6423" s="10"/>
      <c r="B6423" s="9"/>
      <c r="C6423" s="8"/>
    </row>
    <row r="6424" spans="1:3" x14ac:dyDescent="0.25">
      <c r="A6424" s="10"/>
      <c r="B6424" s="9"/>
      <c r="C6424" s="8"/>
    </row>
    <row r="6425" spans="1:3" x14ac:dyDescent="0.25">
      <c r="A6425" s="10"/>
      <c r="B6425" s="9"/>
      <c r="C6425" s="8"/>
    </row>
    <row r="6426" spans="1:3" x14ac:dyDescent="0.25">
      <c r="A6426" s="10"/>
      <c r="B6426" s="9"/>
      <c r="C6426" s="8"/>
    </row>
    <row r="6427" spans="1:3" x14ac:dyDescent="0.25">
      <c r="A6427" s="50"/>
      <c r="B6427" s="50"/>
      <c r="C6427" s="50"/>
    </row>
    <row r="6428" spans="1:3" x14ac:dyDescent="0.25">
      <c r="A6428" s="50"/>
      <c r="B6428" s="50"/>
      <c r="C6428" s="50"/>
    </row>
    <row r="6429" spans="1:3" x14ac:dyDescent="0.25">
      <c r="A6429" s="50"/>
      <c r="B6429" s="50"/>
      <c r="C6429" s="50"/>
    </row>
    <row r="6430" spans="1:3" x14ac:dyDescent="0.25">
      <c r="A6430" s="50"/>
      <c r="B6430" s="50"/>
      <c r="C6430" s="50"/>
    </row>
    <row r="6431" spans="1:3" x14ac:dyDescent="0.25">
      <c r="A6431" s="50"/>
      <c r="B6431" s="50"/>
      <c r="C6431" s="50"/>
    </row>
    <row r="6432" spans="1:3" x14ac:dyDescent="0.25">
      <c r="A6432" s="50"/>
      <c r="B6432" s="50"/>
      <c r="C6432" s="50"/>
    </row>
    <row r="6433" spans="1:3" x14ac:dyDescent="0.25">
      <c r="A6433" s="50"/>
      <c r="B6433" s="50"/>
      <c r="C6433" s="50"/>
    </row>
    <row r="6434" spans="1:3" x14ac:dyDescent="0.25">
      <c r="A6434" s="50"/>
      <c r="B6434" s="50"/>
      <c r="C6434" s="50"/>
    </row>
    <row r="6435" spans="1:3" x14ac:dyDescent="0.25">
      <c r="A6435" s="50"/>
      <c r="B6435" s="50"/>
      <c r="C6435" s="50"/>
    </row>
    <row r="6436" spans="1:3" x14ac:dyDescent="0.25">
      <c r="A6436" s="50"/>
      <c r="B6436" s="50"/>
      <c r="C6436" s="50"/>
    </row>
    <row r="6437" spans="1:3" x14ac:dyDescent="0.25">
      <c r="A6437" s="50"/>
      <c r="B6437" s="50"/>
      <c r="C6437" s="50"/>
    </row>
    <row r="6438" spans="1:3" x14ac:dyDescent="0.25">
      <c r="A6438" s="50"/>
      <c r="B6438" s="50"/>
      <c r="C6438" s="50"/>
    </row>
    <row r="6439" spans="1:3" x14ac:dyDescent="0.25">
      <c r="A6439" s="50"/>
      <c r="B6439" s="50"/>
      <c r="C6439" s="50"/>
    </row>
    <row r="6440" spans="1:3" x14ac:dyDescent="0.25">
      <c r="A6440" s="50"/>
      <c r="B6440" s="50"/>
      <c r="C6440" s="50"/>
    </row>
    <row r="6441" spans="1:3" x14ac:dyDescent="0.25">
      <c r="A6441" s="50"/>
      <c r="B6441" s="50"/>
      <c r="C6441" s="50"/>
    </row>
    <row r="6442" spans="1:3" x14ac:dyDescent="0.25">
      <c r="A6442" s="50"/>
      <c r="B6442" s="50"/>
      <c r="C6442" s="50"/>
    </row>
    <row r="6443" spans="1:3" x14ac:dyDescent="0.25">
      <c r="A6443" s="50"/>
      <c r="B6443" s="50"/>
      <c r="C6443" s="50"/>
    </row>
    <row r="6444" spans="1:3" x14ac:dyDescent="0.25">
      <c r="A6444" s="50"/>
      <c r="B6444" s="50"/>
      <c r="C6444" s="50"/>
    </row>
    <row r="6445" spans="1:3" x14ac:dyDescent="0.25">
      <c r="A6445" s="50"/>
      <c r="B6445" s="50"/>
      <c r="C6445" s="50"/>
    </row>
    <row r="6446" spans="1:3" x14ac:dyDescent="0.25">
      <c r="A6446" s="50"/>
      <c r="B6446" s="50"/>
      <c r="C6446" s="50"/>
    </row>
    <row r="6447" spans="1:3" x14ac:dyDescent="0.25">
      <c r="A6447" s="50"/>
      <c r="B6447" s="50"/>
      <c r="C6447" s="50"/>
    </row>
    <row r="6448" spans="1:3" x14ac:dyDescent="0.25">
      <c r="A6448" s="50"/>
      <c r="B6448" s="50"/>
      <c r="C6448" s="50"/>
    </row>
    <row r="6449" spans="1:3" x14ac:dyDescent="0.25">
      <c r="A6449" s="50"/>
      <c r="B6449" s="50"/>
      <c r="C6449" s="50"/>
    </row>
    <row r="6450" spans="1:3" x14ac:dyDescent="0.25">
      <c r="A6450" s="50"/>
      <c r="B6450" s="50"/>
      <c r="C6450" s="50"/>
    </row>
    <row r="6451" spans="1:3" x14ac:dyDescent="0.25">
      <c r="A6451" s="50"/>
      <c r="B6451" s="50"/>
      <c r="C6451" s="50"/>
    </row>
    <row r="6452" spans="1:3" x14ac:dyDescent="0.25">
      <c r="A6452" s="50"/>
      <c r="B6452" s="50"/>
      <c r="C6452" s="50"/>
    </row>
    <row r="6453" spans="1:3" x14ac:dyDescent="0.25">
      <c r="A6453" s="50"/>
      <c r="B6453" s="50"/>
      <c r="C6453" s="50"/>
    </row>
    <row r="6454" spans="1:3" x14ac:dyDescent="0.25">
      <c r="A6454" s="50"/>
      <c r="B6454" s="50"/>
      <c r="C6454" s="50"/>
    </row>
    <row r="6455" spans="1:3" x14ac:dyDescent="0.25">
      <c r="A6455" s="50"/>
      <c r="B6455" s="50"/>
      <c r="C6455" s="50"/>
    </row>
    <row r="6456" spans="1:3" x14ac:dyDescent="0.25">
      <c r="A6456" s="50"/>
      <c r="B6456" s="50"/>
      <c r="C6456" s="50"/>
    </row>
    <row r="6457" spans="1:3" x14ac:dyDescent="0.25">
      <c r="A6457" s="50"/>
      <c r="B6457" s="50"/>
      <c r="C6457" s="50"/>
    </row>
    <row r="6458" spans="1:3" x14ac:dyDescent="0.25">
      <c r="A6458" s="50"/>
      <c r="B6458" s="50"/>
      <c r="C6458" s="50"/>
    </row>
    <row r="6459" spans="1:3" x14ac:dyDescent="0.25">
      <c r="A6459" s="50"/>
      <c r="B6459" s="50"/>
      <c r="C6459" s="50"/>
    </row>
    <row r="6460" spans="1:3" x14ac:dyDescent="0.25">
      <c r="A6460" s="50"/>
      <c r="B6460" s="50"/>
      <c r="C6460" s="50"/>
    </row>
    <row r="6461" spans="1:3" x14ac:dyDescent="0.25">
      <c r="A6461" s="50"/>
      <c r="B6461" s="50"/>
      <c r="C6461" s="50"/>
    </row>
    <row r="6462" spans="1:3" x14ac:dyDescent="0.25">
      <c r="A6462" s="50"/>
      <c r="B6462" s="50"/>
      <c r="C6462" s="50"/>
    </row>
    <row r="6463" spans="1:3" x14ac:dyDescent="0.25">
      <c r="A6463" s="50"/>
      <c r="B6463" s="50"/>
      <c r="C6463" s="50"/>
    </row>
    <row r="6464" spans="1:3" x14ac:dyDescent="0.25">
      <c r="A6464" s="50"/>
      <c r="B6464" s="50"/>
      <c r="C6464" s="50"/>
    </row>
    <row r="6465" spans="1:3" x14ac:dyDescent="0.25">
      <c r="A6465" s="50"/>
      <c r="B6465" s="50"/>
      <c r="C6465" s="50"/>
    </row>
    <row r="6466" spans="1:3" x14ac:dyDescent="0.25">
      <c r="A6466" s="50"/>
      <c r="B6466" s="50"/>
      <c r="C6466" s="50"/>
    </row>
    <row r="6467" spans="1:3" x14ac:dyDescent="0.25">
      <c r="A6467" s="50"/>
      <c r="B6467" s="50"/>
      <c r="C6467" s="50"/>
    </row>
    <row r="6468" spans="1:3" x14ac:dyDescent="0.25">
      <c r="A6468" s="50"/>
      <c r="B6468" s="50"/>
      <c r="C6468" s="50"/>
    </row>
    <row r="6469" spans="1:3" x14ac:dyDescent="0.25">
      <c r="A6469" s="50"/>
      <c r="B6469" s="50"/>
      <c r="C6469" s="50"/>
    </row>
    <row r="6470" spans="1:3" x14ac:dyDescent="0.25">
      <c r="A6470" s="50"/>
      <c r="B6470" s="50"/>
      <c r="C6470" s="50"/>
    </row>
    <row r="6471" spans="1:3" x14ac:dyDescent="0.25">
      <c r="A6471" s="50"/>
      <c r="B6471" s="50"/>
      <c r="C6471" s="50"/>
    </row>
    <row r="6472" spans="1:3" x14ac:dyDescent="0.25">
      <c r="A6472" s="50"/>
      <c r="B6472" s="50"/>
      <c r="C6472" s="50"/>
    </row>
    <row r="6473" spans="1:3" x14ac:dyDescent="0.25">
      <c r="A6473" s="50"/>
      <c r="B6473" s="50"/>
      <c r="C6473" s="50"/>
    </row>
    <row r="6474" spans="1:3" x14ac:dyDescent="0.25">
      <c r="A6474" s="50"/>
      <c r="B6474" s="50"/>
      <c r="C6474" s="50"/>
    </row>
    <row r="6475" spans="1:3" x14ac:dyDescent="0.25">
      <c r="A6475" s="50"/>
      <c r="B6475" s="50"/>
      <c r="C6475" s="50"/>
    </row>
    <row r="6476" spans="1:3" x14ac:dyDescent="0.25">
      <c r="A6476" s="50"/>
      <c r="B6476" s="50"/>
      <c r="C6476" s="50"/>
    </row>
    <row r="6477" spans="1:3" x14ac:dyDescent="0.25">
      <c r="A6477" s="50"/>
      <c r="B6477" s="50"/>
      <c r="C6477" s="50"/>
    </row>
    <row r="6478" spans="1:3" x14ac:dyDescent="0.25">
      <c r="A6478" s="50"/>
      <c r="B6478" s="50"/>
      <c r="C6478" s="50"/>
    </row>
    <row r="6479" spans="1:3" x14ac:dyDescent="0.25">
      <c r="A6479" s="50"/>
      <c r="B6479" s="50"/>
      <c r="C6479" s="50"/>
    </row>
    <row r="6480" spans="1:3" x14ac:dyDescent="0.25">
      <c r="A6480" s="50"/>
      <c r="B6480" s="50"/>
      <c r="C6480" s="50"/>
    </row>
    <row r="6481" spans="1:3" x14ac:dyDescent="0.25">
      <c r="A6481" s="50"/>
      <c r="B6481" s="50"/>
      <c r="C6481" s="50"/>
    </row>
    <row r="6482" spans="1:3" x14ac:dyDescent="0.25">
      <c r="A6482" s="50"/>
      <c r="B6482" s="50"/>
      <c r="C6482" s="50"/>
    </row>
    <row r="6483" spans="1:3" x14ac:dyDescent="0.25">
      <c r="A6483" s="50"/>
      <c r="B6483" s="50"/>
      <c r="C6483" s="50"/>
    </row>
    <row r="6484" spans="1:3" x14ac:dyDescent="0.25">
      <c r="A6484" s="50"/>
      <c r="B6484" s="50"/>
      <c r="C6484" s="50"/>
    </row>
    <row r="6485" spans="1:3" x14ac:dyDescent="0.25">
      <c r="A6485" s="50"/>
      <c r="B6485" s="50"/>
      <c r="C6485" s="50"/>
    </row>
    <row r="6486" spans="1:3" x14ac:dyDescent="0.25">
      <c r="A6486" s="50"/>
      <c r="B6486" s="50"/>
      <c r="C6486" s="50"/>
    </row>
    <row r="6487" spans="1:3" x14ac:dyDescent="0.25">
      <c r="A6487" s="50"/>
      <c r="B6487" s="50"/>
      <c r="C6487" s="50"/>
    </row>
    <row r="6488" spans="1:3" x14ac:dyDescent="0.25">
      <c r="A6488" s="50"/>
      <c r="B6488" s="50"/>
      <c r="C6488" s="50"/>
    </row>
    <row r="6489" spans="1:3" x14ac:dyDescent="0.25">
      <c r="A6489" s="50"/>
      <c r="B6489" s="50"/>
      <c r="C6489" s="50"/>
    </row>
    <row r="6490" spans="1:3" x14ac:dyDescent="0.25">
      <c r="A6490" s="50"/>
      <c r="B6490" s="50"/>
      <c r="C6490" s="50"/>
    </row>
    <row r="6491" spans="1:3" x14ac:dyDescent="0.25">
      <c r="A6491" s="50"/>
      <c r="B6491" s="50"/>
      <c r="C6491" s="50"/>
    </row>
    <row r="6492" spans="1:3" x14ac:dyDescent="0.25">
      <c r="A6492" s="50"/>
      <c r="B6492" s="50"/>
      <c r="C6492" s="50"/>
    </row>
    <row r="6493" spans="1:3" x14ac:dyDescent="0.25">
      <c r="A6493" s="50"/>
      <c r="B6493" s="50"/>
      <c r="C6493" s="50"/>
    </row>
    <row r="6494" spans="1:3" x14ac:dyDescent="0.25">
      <c r="A6494" s="50"/>
      <c r="B6494" s="50"/>
      <c r="C6494" s="50"/>
    </row>
    <row r="6495" spans="1:3" x14ac:dyDescent="0.25">
      <c r="A6495" s="50"/>
      <c r="B6495" s="50"/>
      <c r="C6495" s="50"/>
    </row>
    <row r="6496" spans="1:3" x14ac:dyDescent="0.25">
      <c r="A6496" s="50"/>
      <c r="B6496" s="50"/>
      <c r="C6496" s="50"/>
    </row>
    <row r="6497" spans="1:3" x14ac:dyDescent="0.25">
      <c r="A6497" s="50"/>
      <c r="B6497" s="50"/>
      <c r="C6497" s="50"/>
    </row>
    <row r="6498" spans="1:3" x14ac:dyDescent="0.25">
      <c r="A6498" s="50"/>
      <c r="B6498" s="50"/>
      <c r="C6498" s="50"/>
    </row>
    <row r="6499" spans="1:3" x14ac:dyDescent="0.25">
      <c r="A6499" s="50"/>
      <c r="B6499" s="50"/>
      <c r="C6499" s="50"/>
    </row>
    <row r="6500" spans="1:3" x14ac:dyDescent="0.25">
      <c r="A6500" s="50"/>
      <c r="B6500" s="50"/>
      <c r="C6500" s="50"/>
    </row>
    <row r="6501" spans="1:3" x14ac:dyDescent="0.25">
      <c r="A6501" s="50"/>
      <c r="B6501" s="50"/>
      <c r="C6501" s="50"/>
    </row>
    <row r="6502" spans="1:3" x14ac:dyDescent="0.25">
      <c r="A6502" s="50"/>
      <c r="B6502" s="50"/>
      <c r="C6502" s="50"/>
    </row>
    <row r="6503" spans="1:3" x14ac:dyDescent="0.25">
      <c r="A6503" s="50"/>
      <c r="B6503" s="50"/>
      <c r="C6503" s="50"/>
    </row>
    <row r="6504" spans="1:3" x14ac:dyDescent="0.25">
      <c r="A6504" s="50"/>
      <c r="B6504" s="50"/>
      <c r="C6504" s="50"/>
    </row>
    <row r="6505" spans="1:3" x14ac:dyDescent="0.25">
      <c r="A6505" s="50"/>
      <c r="B6505" s="50"/>
      <c r="C6505" s="50"/>
    </row>
    <row r="6506" spans="1:3" x14ac:dyDescent="0.25">
      <c r="A6506" s="50"/>
      <c r="B6506" s="50"/>
      <c r="C6506" s="50"/>
    </row>
    <row r="6507" spans="1:3" x14ac:dyDescent="0.25">
      <c r="A6507" s="50"/>
      <c r="B6507" s="50"/>
      <c r="C6507" s="50"/>
    </row>
    <row r="6508" spans="1:3" x14ac:dyDescent="0.25">
      <c r="A6508" s="50"/>
      <c r="B6508" s="50"/>
      <c r="C6508" s="50"/>
    </row>
    <row r="6509" spans="1:3" x14ac:dyDescent="0.25">
      <c r="A6509" s="50"/>
      <c r="B6509" s="50"/>
      <c r="C6509" s="50"/>
    </row>
    <row r="6510" spans="1:3" x14ac:dyDescent="0.25">
      <c r="A6510" s="50"/>
      <c r="B6510" s="50"/>
      <c r="C6510" s="50"/>
    </row>
    <row r="6511" spans="1:3" x14ac:dyDescent="0.25">
      <c r="A6511" s="50"/>
      <c r="B6511" s="50"/>
      <c r="C6511" s="50"/>
    </row>
    <row r="6512" spans="1:3" x14ac:dyDescent="0.25">
      <c r="A6512" s="50"/>
      <c r="B6512" s="50"/>
      <c r="C6512" s="50"/>
    </row>
    <row r="6513" spans="1:3" x14ac:dyDescent="0.25">
      <c r="A6513" s="50"/>
      <c r="B6513" s="50"/>
      <c r="C6513" s="50"/>
    </row>
    <row r="6514" spans="1:3" x14ac:dyDescent="0.25">
      <c r="A6514" s="50"/>
      <c r="B6514" s="50"/>
      <c r="C6514" s="50"/>
    </row>
    <row r="6515" spans="1:3" x14ac:dyDescent="0.25">
      <c r="A6515" s="50"/>
      <c r="B6515" s="50"/>
      <c r="C6515" s="50"/>
    </row>
    <row r="6516" spans="1:3" x14ac:dyDescent="0.25">
      <c r="A6516" s="50"/>
      <c r="B6516" s="50"/>
      <c r="C6516" s="50"/>
    </row>
    <row r="6517" spans="1:3" x14ac:dyDescent="0.25">
      <c r="A6517" s="50"/>
      <c r="B6517" s="50"/>
      <c r="C6517" s="50"/>
    </row>
    <row r="6518" spans="1:3" x14ac:dyDescent="0.25">
      <c r="A6518" s="50"/>
      <c r="B6518" s="50"/>
      <c r="C6518" s="50"/>
    </row>
    <row r="6519" spans="1:3" x14ac:dyDescent="0.25">
      <c r="A6519" s="50"/>
      <c r="B6519" s="50"/>
      <c r="C6519" s="50"/>
    </row>
    <row r="6520" spans="1:3" x14ac:dyDescent="0.25">
      <c r="A6520" s="50"/>
      <c r="B6520" s="50"/>
      <c r="C6520" s="50"/>
    </row>
    <row r="6521" spans="1:3" x14ac:dyDescent="0.25">
      <c r="A6521" s="50"/>
      <c r="B6521" s="50"/>
      <c r="C6521" s="50"/>
    </row>
    <row r="6522" spans="1:3" x14ac:dyDescent="0.25">
      <c r="A6522" s="50"/>
      <c r="B6522" s="50"/>
      <c r="C6522" s="50"/>
    </row>
    <row r="6523" spans="1:3" x14ac:dyDescent="0.25">
      <c r="A6523" s="50"/>
      <c r="B6523" s="50"/>
      <c r="C6523" s="50"/>
    </row>
    <row r="6524" spans="1:3" x14ac:dyDescent="0.25">
      <c r="A6524" s="50"/>
      <c r="B6524" s="50"/>
      <c r="C6524" s="50"/>
    </row>
    <row r="6525" spans="1:3" x14ac:dyDescent="0.25">
      <c r="A6525" s="50"/>
      <c r="B6525" s="50"/>
      <c r="C6525" s="50"/>
    </row>
    <row r="6526" spans="1:3" x14ac:dyDescent="0.25">
      <c r="A6526" s="50"/>
      <c r="B6526" s="50"/>
      <c r="C6526" s="50"/>
    </row>
    <row r="6527" spans="1:3" x14ac:dyDescent="0.25">
      <c r="A6527" s="50"/>
      <c r="B6527" s="50"/>
      <c r="C6527" s="50"/>
    </row>
    <row r="6528" spans="1:3" x14ac:dyDescent="0.25">
      <c r="A6528" s="50"/>
      <c r="B6528" s="50"/>
      <c r="C6528" s="50"/>
    </row>
    <row r="6529" spans="1:3" x14ac:dyDescent="0.25">
      <c r="A6529" s="50"/>
      <c r="B6529" s="50"/>
      <c r="C6529" s="50"/>
    </row>
    <row r="6530" spans="1:3" x14ac:dyDescent="0.25">
      <c r="A6530" s="50"/>
      <c r="B6530" s="50"/>
      <c r="C6530" s="50"/>
    </row>
    <row r="6531" spans="1:3" x14ac:dyDescent="0.25">
      <c r="A6531" s="50"/>
      <c r="B6531" s="50"/>
      <c r="C6531" s="50"/>
    </row>
    <row r="6532" spans="1:3" x14ac:dyDescent="0.25">
      <c r="A6532" s="50"/>
      <c r="B6532" s="50"/>
      <c r="C6532" s="50"/>
    </row>
    <row r="6533" spans="1:3" x14ac:dyDescent="0.25">
      <c r="A6533" s="50"/>
      <c r="B6533" s="50"/>
      <c r="C6533" s="50"/>
    </row>
    <row r="6534" spans="1:3" x14ac:dyDescent="0.25">
      <c r="A6534" s="50"/>
      <c r="B6534" s="50"/>
      <c r="C6534" s="50"/>
    </row>
    <row r="6535" spans="1:3" x14ac:dyDescent="0.25">
      <c r="A6535" s="50"/>
      <c r="B6535" s="50"/>
      <c r="C6535" s="50"/>
    </row>
    <row r="6536" spans="1:3" x14ac:dyDescent="0.25">
      <c r="A6536" s="50"/>
      <c r="B6536" s="50"/>
      <c r="C6536" s="50"/>
    </row>
    <row r="6537" spans="1:3" x14ac:dyDescent="0.25">
      <c r="A6537" s="50"/>
      <c r="B6537" s="50"/>
      <c r="C6537" s="50"/>
    </row>
    <row r="6538" spans="1:3" x14ac:dyDescent="0.25">
      <c r="A6538" s="50"/>
      <c r="B6538" s="50"/>
      <c r="C6538" s="50"/>
    </row>
    <row r="6539" spans="1:3" x14ac:dyDescent="0.25">
      <c r="A6539" s="50"/>
      <c r="B6539" s="50"/>
      <c r="C6539" s="50"/>
    </row>
    <row r="6540" spans="1:3" x14ac:dyDescent="0.25">
      <c r="A6540" s="50"/>
      <c r="B6540" s="50"/>
      <c r="C6540" s="50"/>
    </row>
    <row r="6541" spans="1:3" x14ac:dyDescent="0.25">
      <c r="A6541" s="50"/>
      <c r="B6541" s="50"/>
      <c r="C6541" s="50"/>
    </row>
    <row r="6542" spans="1:3" x14ac:dyDescent="0.25">
      <c r="A6542" s="50"/>
      <c r="B6542" s="50"/>
      <c r="C6542" s="50"/>
    </row>
    <row r="6543" spans="1:3" x14ac:dyDescent="0.25">
      <c r="A6543" s="50"/>
      <c r="B6543" s="50"/>
      <c r="C6543" s="50"/>
    </row>
    <row r="6544" spans="1:3" x14ac:dyDescent="0.25">
      <c r="A6544" s="50"/>
      <c r="B6544" s="50"/>
      <c r="C6544" s="50"/>
    </row>
    <row r="6545" spans="1:3" x14ac:dyDescent="0.25">
      <c r="A6545" s="50"/>
      <c r="B6545" s="50"/>
      <c r="C6545" s="50"/>
    </row>
    <row r="6546" spans="1:3" x14ac:dyDescent="0.25">
      <c r="A6546" s="50"/>
      <c r="B6546" s="50"/>
      <c r="C6546" s="50"/>
    </row>
    <row r="6547" spans="1:3" x14ac:dyDescent="0.25">
      <c r="A6547" s="50"/>
      <c r="B6547" s="50"/>
      <c r="C6547" s="50"/>
    </row>
    <row r="6548" spans="1:3" x14ac:dyDescent="0.25">
      <c r="A6548" s="50"/>
      <c r="B6548" s="50"/>
      <c r="C6548" s="50"/>
    </row>
    <row r="6549" spans="1:3" x14ac:dyDescent="0.25">
      <c r="A6549" s="50"/>
      <c r="B6549" s="50"/>
      <c r="C6549" s="50"/>
    </row>
    <row r="6550" spans="1:3" x14ac:dyDescent="0.25">
      <c r="A6550" s="50"/>
      <c r="B6550" s="50"/>
      <c r="C6550" s="50"/>
    </row>
    <row r="6551" spans="1:3" x14ac:dyDescent="0.25">
      <c r="A6551" s="50"/>
      <c r="B6551" s="50"/>
      <c r="C6551" s="50"/>
    </row>
    <row r="6552" spans="1:3" x14ac:dyDescent="0.25">
      <c r="A6552" s="50"/>
      <c r="B6552" s="50"/>
      <c r="C6552" s="50"/>
    </row>
    <row r="6553" spans="1:3" x14ac:dyDescent="0.25">
      <c r="A6553" s="50"/>
      <c r="B6553" s="50"/>
      <c r="C6553" s="50"/>
    </row>
    <row r="6554" spans="1:3" x14ac:dyDescent="0.25">
      <c r="A6554" s="50"/>
      <c r="B6554" s="50"/>
      <c r="C6554" s="50"/>
    </row>
    <row r="6555" spans="1:3" x14ac:dyDescent="0.25">
      <c r="A6555" s="50"/>
      <c r="B6555" s="50"/>
      <c r="C6555" s="50"/>
    </row>
    <row r="6556" spans="1:3" x14ac:dyDescent="0.25">
      <c r="A6556" s="50"/>
      <c r="B6556" s="50"/>
      <c r="C6556" s="50"/>
    </row>
    <row r="6557" spans="1:3" x14ac:dyDescent="0.25">
      <c r="A6557" s="50"/>
      <c r="B6557" s="50"/>
      <c r="C6557" s="50"/>
    </row>
    <row r="6558" spans="1:3" x14ac:dyDescent="0.25">
      <c r="A6558" s="50"/>
      <c r="B6558" s="50"/>
      <c r="C6558" s="50"/>
    </row>
    <row r="6559" spans="1:3" x14ac:dyDescent="0.25">
      <c r="A6559" s="50"/>
      <c r="B6559" s="50"/>
      <c r="C6559" s="50"/>
    </row>
    <row r="6560" spans="1:3" x14ac:dyDescent="0.25">
      <c r="A6560" s="50"/>
      <c r="B6560" s="50"/>
      <c r="C6560" s="50"/>
    </row>
    <row r="6561" spans="1:3" x14ac:dyDescent="0.25">
      <c r="A6561" s="50"/>
      <c r="B6561" s="50"/>
      <c r="C6561" s="50"/>
    </row>
    <row r="6562" spans="1:3" x14ac:dyDescent="0.25">
      <c r="A6562" s="50"/>
      <c r="B6562" s="50"/>
      <c r="C6562" s="50"/>
    </row>
    <row r="6563" spans="1:3" x14ac:dyDescent="0.25">
      <c r="A6563" s="50"/>
      <c r="B6563" s="50"/>
      <c r="C6563" s="50"/>
    </row>
    <row r="6564" spans="1:3" x14ac:dyDescent="0.25">
      <c r="A6564" s="50"/>
      <c r="B6564" s="50"/>
      <c r="C6564" s="50"/>
    </row>
    <row r="6565" spans="1:3" x14ac:dyDescent="0.25">
      <c r="A6565" s="50"/>
      <c r="B6565" s="50"/>
      <c r="C6565" s="50"/>
    </row>
    <row r="6566" spans="1:3" x14ac:dyDescent="0.25">
      <c r="A6566" s="50"/>
      <c r="B6566" s="50"/>
      <c r="C6566" s="50"/>
    </row>
    <row r="6567" spans="1:3" x14ac:dyDescent="0.25">
      <c r="A6567" s="50"/>
      <c r="B6567" s="50"/>
      <c r="C6567" s="50"/>
    </row>
    <row r="6568" spans="1:3" x14ac:dyDescent="0.25">
      <c r="A6568" s="50"/>
      <c r="B6568" s="50"/>
      <c r="C6568" s="50"/>
    </row>
    <row r="6569" spans="1:3" x14ac:dyDescent="0.25">
      <c r="A6569" s="50"/>
      <c r="B6569" s="50"/>
      <c r="C6569" s="50"/>
    </row>
    <row r="6570" spans="1:3" x14ac:dyDescent="0.25">
      <c r="A6570" s="50"/>
      <c r="B6570" s="50"/>
      <c r="C6570" s="50"/>
    </row>
    <row r="6571" spans="1:3" x14ac:dyDescent="0.25">
      <c r="A6571" s="50"/>
      <c r="B6571" s="50"/>
      <c r="C6571" s="50"/>
    </row>
    <row r="6572" spans="1:3" x14ac:dyDescent="0.25">
      <c r="A6572" s="50"/>
      <c r="B6572" s="50"/>
      <c r="C6572" s="50"/>
    </row>
    <row r="6573" spans="1:3" x14ac:dyDescent="0.25">
      <c r="A6573" s="50"/>
      <c r="B6573" s="50"/>
      <c r="C6573" s="50"/>
    </row>
    <row r="6574" spans="1:3" x14ac:dyDescent="0.25">
      <c r="A6574" s="50"/>
      <c r="B6574" s="50"/>
      <c r="C6574" s="50"/>
    </row>
    <row r="6575" spans="1:3" x14ac:dyDescent="0.25">
      <c r="A6575" s="50"/>
      <c r="B6575" s="50"/>
      <c r="C6575" s="50"/>
    </row>
    <row r="6576" spans="1:3" x14ac:dyDescent="0.25">
      <c r="A6576" s="50"/>
      <c r="B6576" s="50"/>
      <c r="C6576" s="50"/>
    </row>
    <row r="6577" spans="1:3" x14ac:dyDescent="0.25">
      <c r="A6577" s="50"/>
      <c r="B6577" s="50"/>
      <c r="C6577" s="50"/>
    </row>
    <row r="6578" spans="1:3" x14ac:dyDescent="0.25">
      <c r="A6578" s="50"/>
      <c r="B6578" s="50"/>
      <c r="C6578" s="50"/>
    </row>
    <row r="6579" spans="1:3" x14ac:dyDescent="0.25">
      <c r="A6579" s="50"/>
      <c r="B6579" s="50"/>
      <c r="C6579" s="50"/>
    </row>
    <row r="6580" spans="1:3" x14ac:dyDescent="0.25">
      <c r="A6580" s="50"/>
      <c r="B6580" s="50"/>
      <c r="C6580" s="50"/>
    </row>
    <row r="6581" spans="1:3" x14ac:dyDescent="0.25">
      <c r="A6581" s="50"/>
      <c r="B6581" s="50"/>
      <c r="C6581" s="50"/>
    </row>
    <row r="6582" spans="1:3" x14ac:dyDescent="0.25">
      <c r="A6582" s="50"/>
      <c r="B6582" s="50"/>
      <c r="C6582" s="50"/>
    </row>
    <row r="6583" spans="1:3" x14ac:dyDescent="0.25">
      <c r="A6583" s="50"/>
      <c r="B6583" s="50"/>
      <c r="C6583" s="50"/>
    </row>
    <row r="6584" spans="1:3" x14ac:dyDescent="0.25">
      <c r="A6584" s="50"/>
      <c r="B6584" s="50"/>
      <c r="C6584" s="50"/>
    </row>
    <row r="6585" spans="1:3" x14ac:dyDescent="0.25">
      <c r="A6585" s="50"/>
      <c r="B6585" s="50"/>
      <c r="C6585" s="50"/>
    </row>
    <row r="6586" spans="1:3" x14ac:dyDescent="0.25">
      <c r="A6586" s="50"/>
      <c r="B6586" s="50"/>
      <c r="C6586" s="50"/>
    </row>
    <row r="6587" spans="1:3" x14ac:dyDescent="0.25">
      <c r="A6587" s="50"/>
      <c r="B6587" s="50"/>
      <c r="C6587" s="50"/>
    </row>
    <row r="6588" spans="1:3" x14ac:dyDescent="0.25">
      <c r="A6588" s="50"/>
      <c r="B6588" s="50"/>
      <c r="C6588" s="50"/>
    </row>
    <row r="6589" spans="1:3" x14ac:dyDescent="0.25">
      <c r="A6589" s="50"/>
      <c r="B6589" s="50"/>
      <c r="C6589" s="50"/>
    </row>
    <row r="6590" spans="1:3" x14ac:dyDescent="0.25">
      <c r="A6590" s="50"/>
      <c r="B6590" s="50"/>
      <c r="C6590" s="50"/>
    </row>
    <row r="6591" spans="1:3" x14ac:dyDescent="0.25">
      <c r="A6591" s="50"/>
      <c r="B6591" s="50"/>
      <c r="C6591" s="50"/>
    </row>
    <row r="6592" spans="1:3" x14ac:dyDescent="0.25">
      <c r="A6592" s="50"/>
      <c r="B6592" s="50"/>
      <c r="C6592" s="50"/>
    </row>
    <row r="6593" spans="1:3" x14ac:dyDescent="0.25">
      <c r="A6593" s="50"/>
      <c r="B6593" s="50"/>
      <c r="C6593" s="50"/>
    </row>
    <row r="6594" spans="1:3" x14ac:dyDescent="0.25">
      <c r="A6594" s="50"/>
      <c r="B6594" s="50"/>
      <c r="C6594" s="50"/>
    </row>
    <row r="6595" spans="1:3" x14ac:dyDescent="0.25">
      <c r="A6595" s="50"/>
      <c r="B6595" s="50"/>
      <c r="C6595" s="50"/>
    </row>
    <row r="6596" spans="1:3" x14ac:dyDescent="0.25">
      <c r="A6596" s="50"/>
      <c r="B6596" s="50"/>
      <c r="C6596" s="50"/>
    </row>
    <row r="6597" spans="1:3" x14ac:dyDescent="0.25">
      <c r="A6597" s="50"/>
      <c r="B6597" s="50"/>
      <c r="C6597" s="50"/>
    </row>
    <row r="6598" spans="1:3" x14ac:dyDescent="0.25">
      <c r="A6598" s="50"/>
      <c r="B6598" s="50"/>
      <c r="C6598" s="50"/>
    </row>
    <row r="6599" spans="1:3" x14ac:dyDescent="0.25">
      <c r="A6599" s="50"/>
      <c r="B6599" s="50"/>
      <c r="C6599" s="50"/>
    </row>
    <row r="6600" spans="1:3" x14ac:dyDescent="0.25">
      <c r="A6600" s="50"/>
      <c r="B6600" s="50"/>
      <c r="C6600" s="50"/>
    </row>
    <row r="6601" spans="1:3" x14ac:dyDescent="0.25">
      <c r="A6601" s="50"/>
      <c r="B6601" s="50"/>
      <c r="C6601" s="50"/>
    </row>
    <row r="6602" spans="1:3" x14ac:dyDescent="0.25">
      <c r="A6602" s="50"/>
      <c r="B6602" s="50"/>
      <c r="C6602" s="50"/>
    </row>
    <row r="6603" spans="1:3" x14ac:dyDescent="0.25">
      <c r="A6603" s="50"/>
      <c r="B6603" s="50"/>
      <c r="C6603" s="50"/>
    </row>
    <row r="6604" spans="1:3" x14ac:dyDescent="0.25">
      <c r="A6604" s="50"/>
      <c r="B6604" s="50"/>
      <c r="C6604" s="50"/>
    </row>
    <row r="6605" spans="1:3" x14ac:dyDescent="0.25">
      <c r="A6605" s="50"/>
      <c r="B6605" s="50"/>
      <c r="C6605" s="50"/>
    </row>
    <row r="6606" spans="1:3" x14ac:dyDescent="0.25">
      <c r="A6606" s="50"/>
      <c r="B6606" s="50"/>
      <c r="C6606" s="50"/>
    </row>
    <row r="6607" spans="1:3" x14ac:dyDescent="0.25">
      <c r="A6607" s="50"/>
      <c r="B6607" s="50"/>
      <c r="C6607" s="50"/>
    </row>
    <row r="6608" spans="1:3" x14ac:dyDescent="0.25">
      <c r="A6608" s="50"/>
      <c r="B6608" s="50"/>
      <c r="C6608" s="50"/>
    </row>
    <row r="6609" spans="1:3" x14ac:dyDescent="0.25">
      <c r="A6609" s="50"/>
      <c r="B6609" s="50"/>
      <c r="C6609" s="50"/>
    </row>
    <row r="6610" spans="1:3" x14ac:dyDescent="0.25">
      <c r="A6610" s="50"/>
      <c r="B6610" s="50"/>
      <c r="C6610" s="50"/>
    </row>
    <row r="6611" spans="1:3" x14ac:dyDescent="0.25">
      <c r="A6611" s="50"/>
      <c r="B6611" s="50"/>
      <c r="C6611" s="50"/>
    </row>
    <row r="6612" spans="1:3" x14ac:dyDescent="0.25">
      <c r="A6612" s="50"/>
      <c r="B6612" s="50"/>
      <c r="C6612" s="50"/>
    </row>
    <row r="6613" spans="1:3" x14ac:dyDescent="0.25">
      <c r="A6613" s="50"/>
      <c r="B6613" s="50"/>
      <c r="C6613" s="50"/>
    </row>
    <row r="6614" spans="1:3" x14ac:dyDescent="0.25">
      <c r="A6614" s="50"/>
      <c r="B6614" s="50"/>
      <c r="C6614" s="50"/>
    </row>
    <row r="6615" spans="1:3" x14ac:dyDescent="0.25">
      <c r="A6615" s="50"/>
      <c r="B6615" s="50"/>
      <c r="C6615" s="50"/>
    </row>
    <row r="6616" spans="1:3" x14ac:dyDescent="0.25">
      <c r="A6616" s="50"/>
      <c r="B6616" s="50"/>
      <c r="C6616" s="50"/>
    </row>
    <row r="6617" spans="1:3" x14ac:dyDescent="0.25">
      <c r="A6617" s="50"/>
      <c r="B6617" s="50"/>
      <c r="C6617" s="50"/>
    </row>
    <row r="6618" spans="1:3" x14ac:dyDescent="0.25">
      <c r="A6618" s="50"/>
      <c r="B6618" s="50"/>
      <c r="C6618" s="50"/>
    </row>
    <row r="6619" spans="1:3" x14ac:dyDescent="0.25">
      <c r="A6619" s="50"/>
      <c r="B6619" s="50"/>
      <c r="C6619" s="50"/>
    </row>
    <row r="6620" spans="1:3" x14ac:dyDescent="0.25">
      <c r="A6620" s="50"/>
      <c r="B6620" s="50"/>
      <c r="C6620" s="50"/>
    </row>
    <row r="6621" spans="1:3" x14ac:dyDescent="0.25">
      <c r="A6621" s="50"/>
      <c r="B6621" s="50"/>
      <c r="C6621" s="50"/>
    </row>
    <row r="6622" spans="1:3" x14ac:dyDescent="0.25">
      <c r="A6622" s="50"/>
      <c r="B6622" s="50"/>
      <c r="C6622" s="50"/>
    </row>
    <row r="6623" spans="1:3" x14ac:dyDescent="0.25">
      <c r="A6623" s="50"/>
      <c r="B6623" s="50"/>
      <c r="C6623" s="50"/>
    </row>
    <row r="6624" spans="1:3" x14ac:dyDescent="0.25">
      <c r="A6624" s="50"/>
      <c r="B6624" s="50"/>
      <c r="C6624" s="50"/>
    </row>
    <row r="6625" spans="1:3" x14ac:dyDescent="0.25">
      <c r="A6625" s="50"/>
      <c r="B6625" s="50"/>
      <c r="C6625" s="50"/>
    </row>
    <row r="6626" spans="1:3" x14ac:dyDescent="0.25">
      <c r="A6626" s="50"/>
      <c r="B6626" s="50"/>
      <c r="C6626" s="50"/>
    </row>
    <row r="6627" spans="1:3" x14ac:dyDescent="0.25">
      <c r="A6627" s="50"/>
      <c r="B6627" s="50"/>
      <c r="C6627" s="50"/>
    </row>
    <row r="6628" spans="1:3" x14ac:dyDescent="0.25">
      <c r="A6628" s="50"/>
      <c r="B6628" s="50"/>
      <c r="C6628" s="50"/>
    </row>
    <row r="6629" spans="1:3" x14ac:dyDescent="0.25">
      <c r="A6629" s="50"/>
      <c r="B6629" s="50"/>
      <c r="C6629" s="50"/>
    </row>
    <row r="6630" spans="1:3" x14ac:dyDescent="0.25">
      <c r="A6630" s="50"/>
      <c r="B6630" s="50"/>
      <c r="C6630" s="50"/>
    </row>
    <row r="6631" spans="1:3" x14ac:dyDescent="0.25">
      <c r="A6631" s="50"/>
      <c r="B6631" s="50"/>
      <c r="C6631" s="50"/>
    </row>
    <row r="6632" spans="1:3" x14ac:dyDescent="0.25">
      <c r="A6632" s="50"/>
      <c r="B6632" s="50"/>
      <c r="C6632" s="50"/>
    </row>
    <row r="6633" spans="1:3" x14ac:dyDescent="0.25">
      <c r="A6633" s="50"/>
      <c r="B6633" s="50"/>
      <c r="C6633" s="50"/>
    </row>
    <row r="6634" spans="1:3" x14ac:dyDescent="0.25">
      <c r="A6634" s="50"/>
      <c r="B6634" s="50"/>
      <c r="C6634" s="50"/>
    </row>
    <row r="6635" spans="1:3" x14ac:dyDescent="0.25">
      <c r="A6635" s="50"/>
      <c r="B6635" s="50"/>
      <c r="C6635" s="50"/>
    </row>
    <row r="6636" spans="1:3" x14ac:dyDescent="0.25">
      <c r="A6636" s="50"/>
      <c r="B6636" s="50"/>
      <c r="C6636" s="50"/>
    </row>
    <row r="6637" spans="1:3" x14ac:dyDescent="0.25">
      <c r="A6637" s="50"/>
      <c r="B6637" s="50"/>
      <c r="C6637" s="50"/>
    </row>
    <row r="6638" spans="1:3" x14ac:dyDescent="0.25">
      <c r="A6638" s="50"/>
      <c r="B6638" s="50"/>
      <c r="C6638" s="50"/>
    </row>
    <row r="6639" spans="1:3" x14ac:dyDescent="0.25">
      <c r="A6639" s="50"/>
      <c r="B6639" s="50"/>
      <c r="C6639" s="50"/>
    </row>
    <row r="6640" spans="1:3" x14ac:dyDescent="0.25">
      <c r="A6640" s="50"/>
      <c r="B6640" s="50"/>
      <c r="C6640" s="50"/>
    </row>
    <row r="6641" spans="1:3" x14ac:dyDescent="0.25">
      <c r="A6641" s="50"/>
      <c r="B6641" s="50"/>
      <c r="C6641" s="50"/>
    </row>
    <row r="6642" spans="1:3" x14ac:dyDescent="0.25">
      <c r="A6642" s="50"/>
      <c r="B6642" s="50"/>
      <c r="C6642" s="50"/>
    </row>
    <row r="6643" spans="1:3" x14ac:dyDescent="0.25">
      <c r="A6643" s="50"/>
      <c r="B6643" s="50"/>
      <c r="C6643" s="50"/>
    </row>
    <row r="6644" spans="1:3" x14ac:dyDescent="0.25">
      <c r="A6644" s="50"/>
      <c r="B6644" s="50"/>
      <c r="C6644" s="50"/>
    </row>
    <row r="6645" spans="1:3" x14ac:dyDescent="0.25">
      <c r="A6645" s="50"/>
      <c r="B6645" s="50"/>
      <c r="C6645" s="50"/>
    </row>
    <row r="6646" spans="1:3" x14ac:dyDescent="0.25">
      <c r="A6646" s="50"/>
      <c r="B6646" s="50"/>
      <c r="C6646" s="50"/>
    </row>
    <row r="6647" spans="1:3" x14ac:dyDescent="0.25">
      <c r="A6647" s="50"/>
      <c r="B6647" s="50"/>
      <c r="C6647" s="50"/>
    </row>
    <row r="6648" spans="1:3" x14ac:dyDescent="0.25">
      <c r="A6648" s="50"/>
      <c r="B6648" s="50"/>
      <c r="C6648" s="50"/>
    </row>
    <row r="6649" spans="1:3" x14ac:dyDescent="0.25">
      <c r="A6649" s="50"/>
      <c r="B6649" s="50"/>
      <c r="C6649" s="50"/>
    </row>
    <row r="6650" spans="1:3" x14ac:dyDescent="0.25">
      <c r="A6650" s="50"/>
      <c r="B6650" s="50"/>
      <c r="C6650" s="50"/>
    </row>
    <row r="6651" spans="1:3" x14ac:dyDescent="0.25">
      <c r="A6651" s="50"/>
      <c r="B6651" s="50"/>
      <c r="C6651" s="50"/>
    </row>
    <row r="6652" spans="1:3" x14ac:dyDescent="0.25">
      <c r="A6652" s="50"/>
      <c r="B6652" s="50"/>
      <c r="C6652" s="50"/>
    </row>
    <row r="6653" spans="1:3" x14ac:dyDescent="0.25">
      <c r="A6653" s="50"/>
      <c r="B6653" s="50"/>
      <c r="C6653" s="50"/>
    </row>
    <row r="6654" spans="1:3" x14ac:dyDescent="0.25">
      <c r="A6654" s="50"/>
      <c r="B6654" s="50"/>
      <c r="C6654" s="50"/>
    </row>
    <row r="6655" spans="1:3" x14ac:dyDescent="0.25">
      <c r="A6655" s="50"/>
      <c r="B6655" s="50"/>
      <c r="C6655" s="50"/>
    </row>
    <row r="6656" spans="1:3" x14ac:dyDescent="0.25">
      <c r="A6656" s="50"/>
      <c r="B6656" s="50"/>
      <c r="C6656" s="50"/>
    </row>
    <row r="6657" spans="1:3" x14ac:dyDescent="0.25">
      <c r="A6657" s="50"/>
      <c r="B6657" s="50"/>
      <c r="C6657" s="50"/>
    </row>
    <row r="6658" spans="1:3" x14ac:dyDescent="0.25">
      <c r="A6658" s="50"/>
      <c r="B6658" s="50"/>
      <c r="C6658" s="50"/>
    </row>
    <row r="6659" spans="1:3" x14ac:dyDescent="0.25">
      <c r="A6659" s="50"/>
      <c r="B6659" s="50"/>
      <c r="C6659" s="50"/>
    </row>
    <row r="6660" spans="1:3" x14ac:dyDescent="0.25">
      <c r="A6660" s="50"/>
      <c r="B6660" s="50"/>
      <c r="C6660" s="50"/>
    </row>
    <row r="6661" spans="1:3" x14ac:dyDescent="0.25">
      <c r="A6661" s="50"/>
      <c r="B6661" s="50"/>
      <c r="C6661" s="50"/>
    </row>
    <row r="6662" spans="1:3" x14ac:dyDescent="0.25">
      <c r="A6662" s="50"/>
      <c r="B6662" s="50"/>
      <c r="C6662" s="50"/>
    </row>
    <row r="6663" spans="1:3" x14ac:dyDescent="0.25">
      <c r="A6663" s="50"/>
      <c r="B6663" s="50"/>
      <c r="C6663" s="50"/>
    </row>
    <row r="6664" spans="1:3" x14ac:dyDescent="0.25">
      <c r="A6664" s="50"/>
      <c r="B6664" s="50"/>
      <c r="C6664" s="50"/>
    </row>
    <row r="6665" spans="1:3" x14ac:dyDescent="0.25">
      <c r="A6665" s="50"/>
      <c r="B6665" s="50"/>
      <c r="C6665" s="50"/>
    </row>
    <row r="6666" spans="1:3" x14ac:dyDescent="0.25">
      <c r="A6666" s="50"/>
      <c r="B6666" s="50"/>
      <c r="C6666" s="50"/>
    </row>
    <row r="6667" spans="1:3" x14ac:dyDescent="0.25">
      <c r="A6667" s="50"/>
      <c r="B6667" s="50"/>
      <c r="C6667" s="50"/>
    </row>
    <row r="6668" spans="1:3" x14ac:dyDescent="0.25">
      <c r="A6668" s="50"/>
      <c r="B6668" s="50"/>
      <c r="C6668" s="50"/>
    </row>
    <row r="6669" spans="1:3" x14ac:dyDescent="0.25">
      <c r="A6669" s="50"/>
      <c r="B6669" s="50"/>
      <c r="C6669" s="50"/>
    </row>
    <row r="6670" spans="1:3" x14ac:dyDescent="0.25">
      <c r="A6670" s="50"/>
      <c r="B6670" s="50"/>
      <c r="C6670" s="50"/>
    </row>
    <row r="6671" spans="1:3" x14ac:dyDescent="0.25">
      <c r="A6671" s="50"/>
      <c r="B6671" s="50"/>
      <c r="C6671" s="50"/>
    </row>
    <row r="6672" spans="1:3" x14ac:dyDescent="0.25">
      <c r="A6672" s="50"/>
      <c r="B6672" s="50"/>
      <c r="C6672" s="50"/>
    </row>
    <row r="6673" spans="1:3" x14ac:dyDescent="0.25">
      <c r="A6673" s="50"/>
      <c r="B6673" s="50"/>
      <c r="C6673" s="50"/>
    </row>
    <row r="6674" spans="1:3" x14ac:dyDescent="0.25">
      <c r="A6674" s="50"/>
      <c r="B6674" s="50"/>
      <c r="C6674" s="50"/>
    </row>
    <row r="6675" spans="1:3" x14ac:dyDescent="0.25">
      <c r="A6675" s="50"/>
      <c r="B6675" s="50"/>
      <c r="C6675" s="50"/>
    </row>
    <row r="6676" spans="1:3" x14ac:dyDescent="0.25">
      <c r="A6676" s="50"/>
      <c r="B6676" s="50"/>
      <c r="C6676" s="50"/>
    </row>
    <row r="6677" spans="1:3" x14ac:dyDescent="0.25">
      <c r="A6677" s="50"/>
      <c r="B6677" s="50"/>
      <c r="C6677" s="50"/>
    </row>
    <row r="6678" spans="1:3" x14ac:dyDescent="0.25">
      <c r="A6678" s="50"/>
      <c r="B6678" s="50"/>
      <c r="C6678" s="50"/>
    </row>
    <row r="6679" spans="1:3" x14ac:dyDescent="0.25">
      <c r="A6679" s="50"/>
      <c r="B6679" s="50"/>
      <c r="C6679" s="50"/>
    </row>
    <row r="6680" spans="1:3" x14ac:dyDescent="0.25">
      <c r="A6680" s="50"/>
      <c r="B6680" s="50"/>
      <c r="C6680" s="50"/>
    </row>
    <row r="6681" spans="1:3" x14ac:dyDescent="0.25">
      <c r="A6681" s="50"/>
      <c r="B6681" s="50"/>
      <c r="C6681" s="50"/>
    </row>
    <row r="6682" spans="1:3" x14ac:dyDescent="0.25">
      <c r="A6682" s="50"/>
      <c r="B6682" s="50"/>
      <c r="C6682" s="50"/>
    </row>
    <row r="6683" spans="1:3" x14ac:dyDescent="0.25">
      <c r="A6683" s="50"/>
      <c r="B6683" s="50"/>
      <c r="C6683" s="50"/>
    </row>
    <row r="6684" spans="1:3" x14ac:dyDescent="0.25">
      <c r="A6684" s="50"/>
      <c r="B6684" s="50"/>
      <c r="C6684" s="50"/>
    </row>
    <row r="6685" spans="1:3" x14ac:dyDescent="0.25">
      <c r="A6685" s="50"/>
      <c r="B6685" s="50"/>
      <c r="C6685" s="50"/>
    </row>
    <row r="6686" spans="1:3" x14ac:dyDescent="0.25">
      <c r="A6686" s="50"/>
      <c r="B6686" s="50"/>
      <c r="C6686" s="50"/>
    </row>
    <row r="6687" spans="1:3" x14ac:dyDescent="0.25">
      <c r="A6687" s="50"/>
      <c r="B6687" s="50"/>
      <c r="C6687" s="50"/>
    </row>
    <row r="6688" spans="1:3" x14ac:dyDescent="0.25">
      <c r="A6688" s="50"/>
      <c r="B6688" s="50"/>
      <c r="C6688" s="50"/>
    </row>
    <row r="6689" spans="1:3" x14ac:dyDescent="0.25">
      <c r="A6689" s="50"/>
      <c r="B6689" s="50"/>
      <c r="C6689" s="50"/>
    </row>
    <row r="6690" spans="1:3" x14ac:dyDescent="0.25">
      <c r="A6690" s="50"/>
      <c r="B6690" s="50"/>
      <c r="C6690" s="50"/>
    </row>
    <row r="6691" spans="1:3" x14ac:dyDescent="0.25">
      <c r="A6691" s="50"/>
      <c r="B6691" s="50"/>
      <c r="C6691" s="50"/>
    </row>
    <row r="6692" spans="1:3" x14ac:dyDescent="0.25">
      <c r="A6692" s="50"/>
      <c r="B6692" s="50"/>
      <c r="C6692" s="50"/>
    </row>
    <row r="6693" spans="1:3" x14ac:dyDescent="0.25">
      <c r="A6693" s="50"/>
      <c r="B6693" s="50"/>
      <c r="C6693" s="50"/>
    </row>
    <row r="6694" spans="1:3" x14ac:dyDescent="0.25">
      <c r="A6694" s="50"/>
      <c r="B6694" s="50"/>
      <c r="C6694" s="50"/>
    </row>
    <row r="6695" spans="1:3" x14ac:dyDescent="0.25">
      <c r="A6695" s="50"/>
      <c r="B6695" s="50"/>
      <c r="C6695" s="50"/>
    </row>
    <row r="6696" spans="1:3" x14ac:dyDescent="0.25">
      <c r="A6696" s="50"/>
      <c r="B6696" s="50"/>
      <c r="C6696" s="50"/>
    </row>
    <row r="6697" spans="1:3" x14ac:dyDescent="0.25">
      <c r="A6697" s="50"/>
      <c r="B6697" s="50"/>
      <c r="C6697" s="50"/>
    </row>
    <row r="6698" spans="1:3" x14ac:dyDescent="0.25">
      <c r="A6698" s="50"/>
      <c r="B6698" s="50"/>
      <c r="C6698" s="50"/>
    </row>
    <row r="6699" spans="1:3" x14ac:dyDescent="0.25">
      <c r="A6699" s="50"/>
      <c r="B6699" s="50"/>
      <c r="C6699" s="50"/>
    </row>
    <row r="6700" spans="1:3" x14ac:dyDescent="0.25">
      <c r="A6700" s="50"/>
      <c r="B6700" s="50"/>
      <c r="C6700" s="50"/>
    </row>
    <row r="6701" spans="1:3" x14ac:dyDescent="0.25">
      <c r="A6701" s="50"/>
      <c r="B6701" s="50"/>
      <c r="C6701" s="50"/>
    </row>
    <row r="6702" spans="1:3" x14ac:dyDescent="0.25">
      <c r="A6702" s="50"/>
      <c r="B6702" s="50"/>
      <c r="C6702" s="50"/>
    </row>
    <row r="6703" spans="1:3" x14ac:dyDescent="0.25">
      <c r="A6703" s="50"/>
      <c r="B6703" s="50"/>
      <c r="C6703" s="50"/>
    </row>
    <row r="6704" spans="1:3" x14ac:dyDescent="0.25">
      <c r="A6704" s="50"/>
      <c r="B6704" s="50"/>
      <c r="C6704" s="50"/>
    </row>
    <row r="6705" spans="1:3" x14ac:dyDescent="0.25">
      <c r="A6705" s="50"/>
      <c r="B6705" s="50"/>
      <c r="C6705" s="50"/>
    </row>
    <row r="6706" spans="1:3" x14ac:dyDescent="0.25">
      <c r="A6706" s="50"/>
      <c r="B6706" s="50"/>
      <c r="C6706" s="50"/>
    </row>
    <row r="6707" spans="1:3" x14ac:dyDescent="0.25">
      <c r="A6707" s="50"/>
      <c r="B6707" s="50"/>
      <c r="C6707" s="50"/>
    </row>
    <row r="6708" spans="1:3" x14ac:dyDescent="0.25">
      <c r="A6708" s="50"/>
      <c r="B6708" s="50"/>
      <c r="C6708" s="50"/>
    </row>
    <row r="6709" spans="1:3" x14ac:dyDescent="0.25">
      <c r="A6709" s="50"/>
      <c r="B6709" s="50"/>
      <c r="C6709" s="50"/>
    </row>
    <row r="6710" spans="1:3" x14ac:dyDescent="0.25">
      <c r="A6710" s="50"/>
      <c r="B6710" s="50"/>
      <c r="C6710" s="50"/>
    </row>
    <row r="6711" spans="1:3" x14ac:dyDescent="0.25">
      <c r="A6711" s="50"/>
      <c r="B6711" s="50"/>
      <c r="C6711" s="50"/>
    </row>
    <row r="6712" spans="1:3" x14ac:dyDescent="0.25">
      <c r="A6712" s="50"/>
      <c r="B6712" s="50"/>
      <c r="C6712" s="50"/>
    </row>
    <row r="6713" spans="1:3" x14ac:dyDescent="0.25">
      <c r="A6713" s="50"/>
      <c r="B6713" s="50"/>
      <c r="C6713" s="50"/>
    </row>
    <row r="6714" spans="1:3" x14ac:dyDescent="0.25">
      <c r="A6714" s="50"/>
      <c r="B6714" s="50"/>
      <c r="C6714" s="50"/>
    </row>
    <row r="6715" spans="1:3" x14ac:dyDescent="0.25">
      <c r="A6715" s="50"/>
      <c r="B6715" s="50"/>
      <c r="C6715" s="50"/>
    </row>
    <row r="6716" spans="1:3" x14ac:dyDescent="0.25">
      <c r="A6716" s="50"/>
      <c r="B6716" s="50"/>
      <c r="C6716" s="50"/>
    </row>
    <row r="6717" spans="1:3" x14ac:dyDescent="0.25">
      <c r="A6717" s="50"/>
      <c r="B6717" s="50"/>
      <c r="C6717" s="50"/>
    </row>
    <row r="6718" spans="1:3" x14ac:dyDescent="0.25">
      <c r="A6718" s="50"/>
      <c r="B6718" s="50"/>
      <c r="C6718" s="50"/>
    </row>
    <row r="6719" spans="1:3" x14ac:dyDescent="0.25">
      <c r="A6719" s="50"/>
      <c r="B6719" s="50"/>
      <c r="C6719" s="50"/>
    </row>
    <row r="6720" spans="1:3" x14ac:dyDescent="0.25">
      <c r="A6720" s="50"/>
      <c r="B6720" s="50"/>
      <c r="C6720" s="50"/>
    </row>
    <row r="6721" spans="1:3" x14ac:dyDescent="0.25">
      <c r="A6721" s="50"/>
      <c r="B6721" s="50"/>
      <c r="C6721" s="50"/>
    </row>
    <row r="6722" spans="1:3" x14ac:dyDescent="0.25">
      <c r="A6722" s="50"/>
      <c r="B6722" s="50"/>
      <c r="C6722" s="50"/>
    </row>
    <row r="6723" spans="1:3" x14ac:dyDescent="0.25">
      <c r="A6723" s="50"/>
      <c r="B6723" s="50"/>
      <c r="C6723" s="50"/>
    </row>
    <row r="6724" spans="1:3" x14ac:dyDescent="0.25">
      <c r="A6724" s="50"/>
      <c r="B6724" s="50"/>
      <c r="C6724" s="50"/>
    </row>
    <row r="6725" spans="1:3" x14ac:dyDescent="0.25">
      <c r="A6725" s="50"/>
      <c r="B6725" s="50"/>
      <c r="C6725" s="50"/>
    </row>
    <row r="6726" spans="1:3" x14ac:dyDescent="0.25">
      <c r="A6726" s="50"/>
      <c r="B6726" s="50"/>
      <c r="C6726" s="50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B207"/>
  <sheetViews>
    <sheetView workbookViewId="0">
      <selection activeCell="B18" sqref="B18"/>
    </sheetView>
  </sheetViews>
  <sheetFormatPr defaultRowHeight="15" x14ac:dyDescent="0.25"/>
  <cols>
    <col min="1" max="1" width="8" bestFit="1" customWidth="1"/>
    <col min="2" max="2" width="35.5703125" bestFit="1" customWidth="1"/>
  </cols>
  <sheetData>
    <row r="1" spans="1:2" x14ac:dyDescent="0.25">
      <c r="A1" s="53" t="s">
        <v>219</v>
      </c>
      <c r="B1" s="53" t="s">
        <v>220</v>
      </c>
    </row>
    <row r="2" spans="1:2" x14ac:dyDescent="0.25">
      <c r="A2" s="52">
        <v>6774691</v>
      </c>
      <c r="B2" s="51" t="s">
        <v>221</v>
      </c>
    </row>
    <row r="3" spans="1:2" x14ac:dyDescent="0.25">
      <c r="A3" s="52">
        <v>6772313</v>
      </c>
      <c r="B3" s="51" t="s">
        <v>222</v>
      </c>
    </row>
    <row r="4" spans="1:2" x14ac:dyDescent="0.25">
      <c r="A4" s="52">
        <v>6772314</v>
      </c>
      <c r="B4" s="51" t="s">
        <v>223</v>
      </c>
    </row>
    <row r="5" spans="1:2" x14ac:dyDescent="0.25">
      <c r="A5" s="52">
        <v>6779278</v>
      </c>
      <c r="B5" s="51" t="s">
        <v>224</v>
      </c>
    </row>
    <row r="6" spans="1:2" x14ac:dyDescent="0.25">
      <c r="A6" s="52">
        <v>6772145</v>
      </c>
      <c r="B6" s="51" t="s">
        <v>225</v>
      </c>
    </row>
    <row r="7" spans="1:2" x14ac:dyDescent="0.25">
      <c r="A7" s="52">
        <v>6794725</v>
      </c>
      <c r="B7" s="51" t="s">
        <v>226</v>
      </c>
    </row>
    <row r="8" spans="1:2" x14ac:dyDescent="0.25">
      <c r="A8" s="52">
        <v>6794726</v>
      </c>
      <c r="B8" s="51" t="s">
        <v>227</v>
      </c>
    </row>
    <row r="9" spans="1:2" x14ac:dyDescent="0.25">
      <c r="A9" s="52">
        <v>6796608</v>
      </c>
      <c r="B9" s="51" t="s">
        <v>228</v>
      </c>
    </row>
    <row r="10" spans="1:2" x14ac:dyDescent="0.25">
      <c r="A10" s="52">
        <v>6796620</v>
      </c>
      <c r="B10" s="51" t="s">
        <v>229</v>
      </c>
    </row>
    <row r="11" spans="1:2" x14ac:dyDescent="0.25">
      <c r="A11" s="52">
        <v>6796609</v>
      </c>
      <c r="B11" s="51" t="s">
        <v>230</v>
      </c>
    </row>
    <row r="12" spans="1:2" x14ac:dyDescent="0.25">
      <c r="A12" s="52">
        <v>6794724</v>
      </c>
      <c r="B12" s="51" t="s">
        <v>231</v>
      </c>
    </row>
    <row r="13" spans="1:2" x14ac:dyDescent="0.25">
      <c r="A13" s="52">
        <v>6793692</v>
      </c>
      <c r="B13" s="51" t="s">
        <v>232</v>
      </c>
    </row>
    <row r="14" spans="1:2" x14ac:dyDescent="0.25">
      <c r="A14" s="52">
        <v>4611401</v>
      </c>
      <c r="B14" s="51" t="s">
        <v>233</v>
      </c>
    </row>
    <row r="15" spans="1:2" x14ac:dyDescent="0.25">
      <c r="A15" s="52">
        <v>6787749</v>
      </c>
      <c r="B15" s="51" t="s">
        <v>234</v>
      </c>
    </row>
    <row r="16" spans="1:2" x14ac:dyDescent="0.25">
      <c r="A16" s="52">
        <v>6790890</v>
      </c>
      <c r="B16" s="51" t="s">
        <v>235</v>
      </c>
    </row>
    <row r="17" spans="1:2" x14ac:dyDescent="0.25">
      <c r="A17" s="52">
        <v>6787748</v>
      </c>
      <c r="B17" s="51" t="s">
        <v>236</v>
      </c>
    </row>
    <row r="18" spans="1:2" x14ac:dyDescent="0.25">
      <c r="A18" s="52">
        <v>6783815</v>
      </c>
      <c r="B18" s="51" t="s">
        <v>237</v>
      </c>
    </row>
    <row r="19" spans="1:2" x14ac:dyDescent="0.25">
      <c r="A19" s="52">
        <v>6783816</v>
      </c>
      <c r="B19" s="51" t="s">
        <v>238</v>
      </c>
    </row>
    <row r="20" spans="1:2" x14ac:dyDescent="0.25">
      <c r="A20" s="52">
        <v>6783813</v>
      </c>
      <c r="B20" s="51" t="s">
        <v>239</v>
      </c>
    </row>
    <row r="21" spans="1:2" x14ac:dyDescent="0.25">
      <c r="A21" s="52">
        <v>6794727</v>
      </c>
      <c r="B21" s="51" t="s">
        <v>240</v>
      </c>
    </row>
    <row r="22" spans="1:2" x14ac:dyDescent="0.25">
      <c r="A22" s="52">
        <v>6772242</v>
      </c>
      <c r="B22" s="51" t="s">
        <v>241</v>
      </c>
    </row>
    <row r="23" spans="1:2" x14ac:dyDescent="0.25">
      <c r="A23" s="52">
        <v>6772243</v>
      </c>
      <c r="B23" s="51" t="s">
        <v>242</v>
      </c>
    </row>
    <row r="24" spans="1:2" x14ac:dyDescent="0.25">
      <c r="A24" s="52">
        <v>6772145</v>
      </c>
      <c r="B24" s="51" t="s">
        <v>225</v>
      </c>
    </row>
    <row r="25" spans="1:2" x14ac:dyDescent="0.25">
      <c r="A25" s="52">
        <v>6783981</v>
      </c>
      <c r="B25" s="51" t="s">
        <v>243</v>
      </c>
    </row>
    <row r="26" spans="1:2" x14ac:dyDescent="0.25">
      <c r="A26" s="52">
        <v>6772142</v>
      </c>
      <c r="B26" s="51" t="s">
        <v>244</v>
      </c>
    </row>
    <row r="27" spans="1:2" x14ac:dyDescent="0.25">
      <c r="A27" s="52">
        <v>6772061</v>
      </c>
      <c r="B27" s="51" t="s">
        <v>232</v>
      </c>
    </row>
    <row r="28" spans="1:2" x14ac:dyDescent="0.25">
      <c r="A28" s="52">
        <v>6772060</v>
      </c>
      <c r="B28" s="51" t="s">
        <v>245</v>
      </c>
    </row>
    <row r="29" spans="1:2" x14ac:dyDescent="0.25">
      <c r="A29" s="52">
        <v>6776690</v>
      </c>
      <c r="B29" s="51" t="s">
        <v>246</v>
      </c>
    </row>
    <row r="30" spans="1:2" x14ac:dyDescent="0.25">
      <c r="A30" s="52">
        <v>6776691</v>
      </c>
      <c r="B30" s="51" t="s">
        <v>247</v>
      </c>
    </row>
    <row r="31" spans="1:2" x14ac:dyDescent="0.25">
      <c r="A31" s="52">
        <v>6794724</v>
      </c>
      <c r="B31" s="51" t="s">
        <v>231</v>
      </c>
    </row>
    <row r="32" spans="1:2" x14ac:dyDescent="0.25">
      <c r="A32" s="52">
        <v>6794727</v>
      </c>
      <c r="B32" s="51" t="s">
        <v>240</v>
      </c>
    </row>
    <row r="33" spans="1:2" x14ac:dyDescent="0.25">
      <c r="A33" s="52">
        <v>6772059</v>
      </c>
      <c r="B33" s="51" t="s">
        <v>248</v>
      </c>
    </row>
    <row r="34" spans="1:2" x14ac:dyDescent="0.25">
      <c r="A34" s="52">
        <v>6772121</v>
      </c>
      <c r="B34" s="51" t="s">
        <v>249</v>
      </c>
    </row>
    <row r="35" spans="1:2" x14ac:dyDescent="0.25">
      <c r="A35" s="52">
        <v>6772066</v>
      </c>
      <c r="B35" s="51" t="s">
        <v>250</v>
      </c>
    </row>
    <row r="36" spans="1:2" x14ac:dyDescent="0.25">
      <c r="A36" s="52">
        <v>6772221</v>
      </c>
      <c r="B36" s="51" t="s">
        <v>251</v>
      </c>
    </row>
    <row r="37" spans="1:2" x14ac:dyDescent="0.25">
      <c r="A37" s="52">
        <v>6773384</v>
      </c>
      <c r="B37" s="51" t="s">
        <v>252</v>
      </c>
    </row>
    <row r="38" spans="1:2" x14ac:dyDescent="0.25">
      <c r="A38" s="52">
        <v>6772099</v>
      </c>
      <c r="B38" s="51" t="s">
        <v>253</v>
      </c>
    </row>
    <row r="39" spans="1:2" x14ac:dyDescent="0.25">
      <c r="A39" s="52">
        <v>6772097</v>
      </c>
      <c r="B39" s="51" t="s">
        <v>254</v>
      </c>
    </row>
    <row r="40" spans="1:2" x14ac:dyDescent="0.25">
      <c r="A40" s="52">
        <v>6772093</v>
      </c>
      <c r="B40" s="51" t="s">
        <v>255</v>
      </c>
    </row>
    <row r="41" spans="1:2" x14ac:dyDescent="0.25">
      <c r="A41" s="52">
        <v>6772092</v>
      </c>
      <c r="B41" s="51" t="s">
        <v>256</v>
      </c>
    </row>
    <row r="42" spans="1:2" x14ac:dyDescent="0.25">
      <c r="A42" s="52">
        <v>6772101</v>
      </c>
      <c r="B42" s="51" t="s">
        <v>257</v>
      </c>
    </row>
    <row r="43" spans="1:2" x14ac:dyDescent="0.25">
      <c r="A43" s="52">
        <v>6772094</v>
      </c>
      <c r="B43" s="51" t="s">
        <v>258</v>
      </c>
    </row>
    <row r="44" spans="1:2" x14ac:dyDescent="0.25">
      <c r="A44" s="52">
        <v>6772127</v>
      </c>
      <c r="B44" s="51" t="s">
        <v>259</v>
      </c>
    </row>
    <row r="45" spans="1:2" x14ac:dyDescent="0.25">
      <c r="A45" s="52">
        <v>6772125</v>
      </c>
      <c r="B45" s="51" t="s">
        <v>260</v>
      </c>
    </row>
    <row r="46" spans="1:2" x14ac:dyDescent="0.25">
      <c r="A46" s="52">
        <v>6773203</v>
      </c>
      <c r="B46" s="51" t="s">
        <v>261</v>
      </c>
    </row>
    <row r="47" spans="1:2" x14ac:dyDescent="0.25">
      <c r="A47" s="52">
        <v>4555435</v>
      </c>
      <c r="B47" s="51" t="s">
        <v>37</v>
      </c>
    </row>
    <row r="48" spans="1:2" x14ac:dyDescent="0.25">
      <c r="A48" s="52">
        <v>6788897</v>
      </c>
      <c r="B48" s="51" t="s">
        <v>262</v>
      </c>
    </row>
    <row r="49" spans="1:2" x14ac:dyDescent="0.25">
      <c r="A49" s="52">
        <v>6772128</v>
      </c>
      <c r="B49" s="51" t="s">
        <v>263</v>
      </c>
    </row>
    <row r="50" spans="1:2" x14ac:dyDescent="0.25">
      <c r="A50" s="52">
        <v>6772052</v>
      </c>
      <c r="B50" s="51" t="s">
        <v>264</v>
      </c>
    </row>
    <row r="51" spans="1:2" x14ac:dyDescent="0.25">
      <c r="A51" s="52">
        <v>6772053</v>
      </c>
      <c r="B51" s="51" t="s">
        <v>265</v>
      </c>
    </row>
    <row r="52" spans="1:2" x14ac:dyDescent="0.25">
      <c r="A52" s="52">
        <v>6772023</v>
      </c>
      <c r="B52" s="51" t="s">
        <v>266</v>
      </c>
    </row>
    <row r="53" spans="1:2" x14ac:dyDescent="0.25">
      <c r="A53" s="52">
        <v>6772024</v>
      </c>
      <c r="B53" s="51" t="s">
        <v>267</v>
      </c>
    </row>
    <row r="54" spans="1:2" x14ac:dyDescent="0.25">
      <c r="A54" s="52">
        <v>6772025</v>
      </c>
      <c r="B54" s="51" t="s">
        <v>268</v>
      </c>
    </row>
    <row r="55" spans="1:2" x14ac:dyDescent="0.25">
      <c r="A55" s="52">
        <v>6772016</v>
      </c>
      <c r="B55" s="51" t="s">
        <v>269</v>
      </c>
    </row>
    <row r="56" spans="1:2" x14ac:dyDescent="0.25">
      <c r="A56" s="52">
        <v>6772017</v>
      </c>
      <c r="B56" s="51" t="s">
        <v>270</v>
      </c>
    </row>
    <row r="57" spans="1:2" x14ac:dyDescent="0.25">
      <c r="A57" s="52">
        <v>6772019</v>
      </c>
      <c r="B57" s="51" t="s">
        <v>271</v>
      </c>
    </row>
    <row r="58" spans="1:2" x14ac:dyDescent="0.25">
      <c r="A58" s="52">
        <v>6772020</v>
      </c>
      <c r="B58" s="51" t="s">
        <v>272</v>
      </c>
    </row>
    <row r="59" spans="1:2" x14ac:dyDescent="0.25">
      <c r="A59" s="52">
        <v>6772021</v>
      </c>
      <c r="B59" s="51" t="s">
        <v>273</v>
      </c>
    </row>
    <row r="60" spans="1:2" x14ac:dyDescent="0.25">
      <c r="A60" s="52">
        <v>6772022</v>
      </c>
      <c r="B60" s="51" t="s">
        <v>274</v>
      </c>
    </row>
    <row r="61" spans="1:2" x14ac:dyDescent="0.25">
      <c r="A61" s="52">
        <v>6772042</v>
      </c>
      <c r="B61" s="51" t="s">
        <v>275</v>
      </c>
    </row>
    <row r="62" spans="1:2" x14ac:dyDescent="0.25">
      <c r="A62" s="52">
        <v>6772018</v>
      </c>
      <c r="B62" s="51" t="s">
        <v>276</v>
      </c>
    </row>
    <row r="63" spans="1:2" x14ac:dyDescent="0.25">
      <c r="A63" s="52">
        <v>4650028</v>
      </c>
      <c r="B63" s="51" t="s">
        <v>215</v>
      </c>
    </row>
    <row r="64" spans="1:2" x14ac:dyDescent="0.25">
      <c r="A64" s="52">
        <v>4650027</v>
      </c>
      <c r="B64" s="51" t="s">
        <v>216</v>
      </c>
    </row>
    <row r="65" spans="1:2" x14ac:dyDescent="0.25">
      <c r="A65" s="52">
        <v>6772041</v>
      </c>
      <c r="B65" s="51" t="s">
        <v>277</v>
      </c>
    </row>
    <row r="66" spans="1:2" x14ac:dyDescent="0.25">
      <c r="A66" s="52">
        <v>6790666</v>
      </c>
      <c r="B66" s="51" t="s">
        <v>278</v>
      </c>
    </row>
    <row r="67" spans="1:2" x14ac:dyDescent="0.25">
      <c r="A67" s="52">
        <v>6790667</v>
      </c>
      <c r="B67" s="51" t="s">
        <v>279</v>
      </c>
    </row>
    <row r="68" spans="1:2" x14ac:dyDescent="0.25">
      <c r="A68" s="52">
        <v>6772043</v>
      </c>
      <c r="B68" s="51" t="s">
        <v>280</v>
      </c>
    </row>
    <row r="69" spans="1:2" x14ac:dyDescent="0.25">
      <c r="A69" s="52">
        <v>6790669</v>
      </c>
      <c r="B69" s="51" t="s">
        <v>281</v>
      </c>
    </row>
    <row r="70" spans="1:2" x14ac:dyDescent="0.25">
      <c r="A70" s="52">
        <v>6772048</v>
      </c>
      <c r="B70" s="51" t="s">
        <v>282</v>
      </c>
    </row>
    <row r="71" spans="1:2" x14ac:dyDescent="0.25">
      <c r="A71" s="52">
        <v>6810434</v>
      </c>
      <c r="B71" s="51" t="s">
        <v>217</v>
      </c>
    </row>
    <row r="72" spans="1:2" x14ac:dyDescent="0.25">
      <c r="A72" s="52">
        <v>6772035</v>
      </c>
      <c r="B72" s="51" t="s">
        <v>283</v>
      </c>
    </row>
    <row r="73" spans="1:2" x14ac:dyDescent="0.25">
      <c r="A73" s="52">
        <v>6772036</v>
      </c>
      <c r="B73" s="51" t="s">
        <v>284</v>
      </c>
    </row>
    <row r="74" spans="1:2" x14ac:dyDescent="0.25">
      <c r="A74" s="52">
        <v>6772037</v>
      </c>
      <c r="B74" s="51" t="s">
        <v>285</v>
      </c>
    </row>
    <row r="75" spans="1:2" x14ac:dyDescent="0.25">
      <c r="A75" s="52">
        <v>6772038</v>
      </c>
      <c r="B75" s="51" t="s">
        <v>286</v>
      </c>
    </row>
    <row r="76" spans="1:2" x14ac:dyDescent="0.25">
      <c r="A76" s="52">
        <v>6772307</v>
      </c>
      <c r="B76" s="51" t="s">
        <v>287</v>
      </c>
    </row>
    <row r="77" spans="1:2" x14ac:dyDescent="0.25">
      <c r="A77" s="52">
        <v>6783972</v>
      </c>
      <c r="B77" s="51" t="s">
        <v>288</v>
      </c>
    </row>
    <row r="78" spans="1:2" x14ac:dyDescent="0.25">
      <c r="A78" s="52">
        <v>6772723</v>
      </c>
      <c r="B78" s="51" t="s">
        <v>289</v>
      </c>
    </row>
    <row r="79" spans="1:2" x14ac:dyDescent="0.25">
      <c r="A79" s="52">
        <v>6772721</v>
      </c>
      <c r="B79" s="51" t="s">
        <v>290</v>
      </c>
    </row>
    <row r="80" spans="1:2" x14ac:dyDescent="0.25">
      <c r="A80" s="52">
        <v>6772722</v>
      </c>
      <c r="B80" s="51" t="s">
        <v>291</v>
      </c>
    </row>
    <row r="81" spans="1:2" x14ac:dyDescent="0.25">
      <c r="A81" s="52">
        <v>6772724</v>
      </c>
      <c r="B81" s="51" t="s">
        <v>292</v>
      </c>
    </row>
    <row r="82" spans="1:2" x14ac:dyDescent="0.25">
      <c r="A82" s="52">
        <v>6772725</v>
      </c>
      <c r="B82" s="51" t="s">
        <v>293</v>
      </c>
    </row>
    <row r="83" spans="1:2" x14ac:dyDescent="0.25">
      <c r="A83" s="52">
        <v>6772726</v>
      </c>
      <c r="B83" s="51" t="s">
        <v>294</v>
      </c>
    </row>
    <row r="84" spans="1:2" x14ac:dyDescent="0.25">
      <c r="A84" s="52">
        <v>6772727</v>
      </c>
      <c r="B84" s="51" t="s">
        <v>295</v>
      </c>
    </row>
    <row r="85" spans="1:2" x14ac:dyDescent="0.25">
      <c r="A85" s="52">
        <v>6772728</v>
      </c>
      <c r="B85" s="51" t="s">
        <v>296</v>
      </c>
    </row>
    <row r="86" spans="1:2" x14ac:dyDescent="0.25">
      <c r="A86" s="52">
        <v>6772729</v>
      </c>
      <c r="B86" s="51" t="s">
        <v>297</v>
      </c>
    </row>
    <row r="87" spans="1:2" x14ac:dyDescent="0.25">
      <c r="A87" s="52">
        <v>6772730</v>
      </c>
      <c r="B87" s="51" t="s">
        <v>298</v>
      </c>
    </row>
    <row r="88" spans="1:2" x14ac:dyDescent="0.25">
      <c r="A88" s="52">
        <v>4546787</v>
      </c>
      <c r="B88" s="51" t="s">
        <v>299</v>
      </c>
    </row>
    <row r="89" spans="1:2" x14ac:dyDescent="0.25">
      <c r="A89" s="52">
        <v>6775801</v>
      </c>
      <c r="B89" s="51" t="s">
        <v>300</v>
      </c>
    </row>
    <row r="90" spans="1:2" x14ac:dyDescent="0.25">
      <c r="A90" s="52">
        <v>6772114</v>
      </c>
      <c r="B90" s="51" t="s">
        <v>51</v>
      </c>
    </row>
    <row r="91" spans="1:2" x14ac:dyDescent="0.25">
      <c r="A91" s="52">
        <v>6772115</v>
      </c>
      <c r="B91" s="51" t="s">
        <v>301</v>
      </c>
    </row>
    <row r="92" spans="1:2" x14ac:dyDescent="0.25">
      <c r="A92" s="52">
        <v>4545567</v>
      </c>
      <c r="B92" s="51" t="s">
        <v>302</v>
      </c>
    </row>
    <row r="93" spans="1:2" x14ac:dyDescent="0.25">
      <c r="A93" s="52">
        <v>6795954</v>
      </c>
      <c r="B93" s="51" t="s">
        <v>303</v>
      </c>
    </row>
    <row r="94" spans="1:2" x14ac:dyDescent="0.25">
      <c r="A94" s="52">
        <v>4653184</v>
      </c>
      <c r="B94" s="51" t="s">
        <v>304</v>
      </c>
    </row>
    <row r="95" spans="1:2" x14ac:dyDescent="0.25">
      <c r="A95" s="52">
        <v>6773201</v>
      </c>
      <c r="B95" s="51" t="s">
        <v>305</v>
      </c>
    </row>
    <row r="96" spans="1:2" x14ac:dyDescent="0.25">
      <c r="A96" s="52">
        <v>6773202</v>
      </c>
      <c r="B96" s="51" t="s">
        <v>306</v>
      </c>
    </row>
    <row r="97" spans="1:2" x14ac:dyDescent="0.25">
      <c r="A97" s="52">
        <v>6772064</v>
      </c>
      <c r="B97" s="51" t="s">
        <v>307</v>
      </c>
    </row>
    <row r="98" spans="1:2" x14ac:dyDescent="0.25">
      <c r="A98" s="52">
        <v>6802210</v>
      </c>
      <c r="B98" s="51" t="s">
        <v>308</v>
      </c>
    </row>
    <row r="99" spans="1:2" x14ac:dyDescent="0.25">
      <c r="A99" s="52">
        <v>6772065</v>
      </c>
      <c r="B99" s="51" t="s">
        <v>309</v>
      </c>
    </row>
    <row r="100" spans="1:2" x14ac:dyDescent="0.25">
      <c r="A100" s="52">
        <v>6772195</v>
      </c>
      <c r="B100" s="51" t="s">
        <v>310</v>
      </c>
    </row>
    <row r="101" spans="1:2" x14ac:dyDescent="0.25">
      <c r="A101" s="52">
        <v>6780386</v>
      </c>
      <c r="B101" s="51" t="s">
        <v>311</v>
      </c>
    </row>
    <row r="102" spans="1:2" x14ac:dyDescent="0.25">
      <c r="A102" s="52">
        <v>6780387</v>
      </c>
      <c r="B102" s="51" t="s">
        <v>312</v>
      </c>
    </row>
    <row r="103" spans="1:2" x14ac:dyDescent="0.25">
      <c r="A103" s="52">
        <v>6772143</v>
      </c>
      <c r="B103" s="51" t="s">
        <v>313</v>
      </c>
    </row>
    <row r="104" spans="1:2" x14ac:dyDescent="0.25">
      <c r="A104" s="52">
        <v>6772117</v>
      </c>
      <c r="B104" s="51" t="s">
        <v>314</v>
      </c>
    </row>
    <row r="105" spans="1:2" x14ac:dyDescent="0.25">
      <c r="A105" s="52">
        <v>6772130</v>
      </c>
      <c r="B105" s="51" t="s">
        <v>315</v>
      </c>
    </row>
    <row r="106" spans="1:2" x14ac:dyDescent="0.25">
      <c r="A106" s="52">
        <v>6776882</v>
      </c>
      <c r="B106" s="51" t="s">
        <v>316</v>
      </c>
    </row>
    <row r="107" spans="1:2" x14ac:dyDescent="0.25">
      <c r="A107" s="52">
        <v>6777118</v>
      </c>
      <c r="B107" s="51" t="s">
        <v>317</v>
      </c>
    </row>
    <row r="108" spans="1:2" x14ac:dyDescent="0.25">
      <c r="A108" s="52">
        <v>6772152</v>
      </c>
      <c r="B108" s="51" t="s">
        <v>318</v>
      </c>
    </row>
    <row r="109" spans="1:2" x14ac:dyDescent="0.25">
      <c r="A109" s="52">
        <v>6772118</v>
      </c>
      <c r="B109" s="51" t="s">
        <v>319</v>
      </c>
    </row>
    <row r="110" spans="1:2" x14ac:dyDescent="0.25">
      <c r="A110" s="52">
        <v>6772144</v>
      </c>
      <c r="B110" s="51" t="s">
        <v>53</v>
      </c>
    </row>
    <row r="111" spans="1:2" x14ac:dyDescent="0.25">
      <c r="A111" s="52">
        <v>6772149</v>
      </c>
      <c r="B111" s="51" t="s">
        <v>320</v>
      </c>
    </row>
    <row r="112" spans="1:2" x14ac:dyDescent="0.25">
      <c r="A112" s="52">
        <v>6773391</v>
      </c>
      <c r="B112" s="51" t="s">
        <v>321</v>
      </c>
    </row>
    <row r="113" spans="1:2" x14ac:dyDescent="0.25">
      <c r="A113" s="52">
        <v>6773392</v>
      </c>
      <c r="B113" s="51" t="s">
        <v>322</v>
      </c>
    </row>
    <row r="114" spans="1:2" x14ac:dyDescent="0.25">
      <c r="A114" s="52">
        <v>6773393</v>
      </c>
      <c r="B114" s="51" t="s">
        <v>323</v>
      </c>
    </row>
    <row r="115" spans="1:2" x14ac:dyDescent="0.25">
      <c r="A115" s="52">
        <v>6773394</v>
      </c>
      <c r="B115" s="51" t="s">
        <v>324</v>
      </c>
    </row>
    <row r="116" spans="1:2" x14ac:dyDescent="0.25">
      <c r="A116" s="52">
        <v>6773396</v>
      </c>
      <c r="B116" s="51" t="s">
        <v>325</v>
      </c>
    </row>
    <row r="117" spans="1:2" x14ac:dyDescent="0.25">
      <c r="A117" s="52">
        <v>6773387</v>
      </c>
      <c r="B117" s="51" t="s">
        <v>326</v>
      </c>
    </row>
    <row r="118" spans="1:2" x14ac:dyDescent="0.25">
      <c r="A118" s="52">
        <v>6773388</v>
      </c>
      <c r="B118" s="51" t="s">
        <v>327</v>
      </c>
    </row>
    <row r="119" spans="1:2" x14ac:dyDescent="0.25">
      <c r="A119" s="52">
        <v>6773389</v>
      </c>
      <c r="B119" s="51" t="s">
        <v>328</v>
      </c>
    </row>
    <row r="120" spans="1:2" x14ac:dyDescent="0.25">
      <c r="A120" s="52">
        <v>6773390</v>
      </c>
      <c r="B120" s="51" t="s">
        <v>329</v>
      </c>
    </row>
    <row r="121" spans="1:2" x14ac:dyDescent="0.25">
      <c r="A121" s="52">
        <v>6773386</v>
      </c>
      <c r="B121" s="51" t="s">
        <v>330</v>
      </c>
    </row>
    <row r="122" spans="1:2" x14ac:dyDescent="0.25">
      <c r="A122" s="52">
        <v>6772181</v>
      </c>
      <c r="B122" s="51" t="s">
        <v>331</v>
      </c>
    </row>
    <row r="123" spans="1:2" x14ac:dyDescent="0.25">
      <c r="A123" s="52">
        <v>6772165</v>
      </c>
      <c r="B123" s="51" t="s">
        <v>332</v>
      </c>
    </row>
    <row r="124" spans="1:2" x14ac:dyDescent="0.25">
      <c r="A124" s="52">
        <v>6772166</v>
      </c>
      <c r="B124" s="51" t="s">
        <v>333</v>
      </c>
    </row>
    <row r="125" spans="1:2" x14ac:dyDescent="0.25">
      <c r="A125" s="52">
        <v>6772150</v>
      </c>
      <c r="B125" s="51" t="s">
        <v>334</v>
      </c>
    </row>
    <row r="126" spans="1:2" x14ac:dyDescent="0.25">
      <c r="A126" s="52">
        <v>6772155</v>
      </c>
      <c r="B126" s="51" t="s">
        <v>335</v>
      </c>
    </row>
    <row r="127" spans="1:2" x14ac:dyDescent="0.25">
      <c r="A127" s="52">
        <v>6772162</v>
      </c>
      <c r="B127" s="51" t="s">
        <v>336</v>
      </c>
    </row>
    <row r="128" spans="1:2" x14ac:dyDescent="0.25">
      <c r="A128" s="52">
        <v>6772156</v>
      </c>
      <c r="B128" s="51" t="s">
        <v>337</v>
      </c>
    </row>
    <row r="129" spans="1:2" x14ac:dyDescent="0.25">
      <c r="A129" s="52">
        <v>4545653</v>
      </c>
      <c r="B129" s="51" t="s">
        <v>338</v>
      </c>
    </row>
    <row r="130" spans="1:2" x14ac:dyDescent="0.25">
      <c r="A130" s="52">
        <v>4545652</v>
      </c>
      <c r="B130" s="51" t="s">
        <v>338</v>
      </c>
    </row>
    <row r="131" spans="1:2" x14ac:dyDescent="0.25">
      <c r="A131" s="52">
        <v>4545651</v>
      </c>
      <c r="B131" s="51" t="s">
        <v>338</v>
      </c>
    </row>
    <row r="132" spans="1:2" x14ac:dyDescent="0.25">
      <c r="A132" s="52">
        <v>6772151</v>
      </c>
      <c r="B132" s="51" t="s">
        <v>339</v>
      </c>
    </row>
    <row r="133" spans="1:2" x14ac:dyDescent="0.25">
      <c r="A133" s="52">
        <v>6772179</v>
      </c>
      <c r="B133" s="51" t="s">
        <v>340</v>
      </c>
    </row>
    <row r="134" spans="1:2" x14ac:dyDescent="0.25">
      <c r="A134" s="52">
        <v>6772160</v>
      </c>
      <c r="B134" s="51" t="s">
        <v>341</v>
      </c>
    </row>
    <row r="135" spans="1:2" x14ac:dyDescent="0.25">
      <c r="A135" s="52">
        <v>6772161</v>
      </c>
      <c r="B135" s="51" t="s">
        <v>342</v>
      </c>
    </row>
    <row r="136" spans="1:2" x14ac:dyDescent="0.25">
      <c r="A136" s="52">
        <v>6772163</v>
      </c>
      <c r="B136" s="51" t="s">
        <v>343</v>
      </c>
    </row>
    <row r="137" spans="1:2" x14ac:dyDescent="0.25">
      <c r="A137" s="52">
        <v>6772164</v>
      </c>
      <c r="B137" s="51" t="s">
        <v>344</v>
      </c>
    </row>
    <row r="138" spans="1:2" x14ac:dyDescent="0.25">
      <c r="A138" s="52">
        <v>6772169</v>
      </c>
      <c r="B138" s="51" t="s">
        <v>345</v>
      </c>
    </row>
    <row r="139" spans="1:2" x14ac:dyDescent="0.25">
      <c r="A139" s="52">
        <v>6772153</v>
      </c>
      <c r="B139" s="51" t="s">
        <v>346</v>
      </c>
    </row>
    <row r="140" spans="1:2" x14ac:dyDescent="0.25">
      <c r="A140" s="52">
        <v>6772154</v>
      </c>
      <c r="B140" s="51" t="s">
        <v>347</v>
      </c>
    </row>
    <row r="141" spans="1:2" x14ac:dyDescent="0.25">
      <c r="A141" s="52">
        <v>6772157</v>
      </c>
      <c r="B141" s="51" t="s">
        <v>348</v>
      </c>
    </row>
    <row r="142" spans="1:2" x14ac:dyDescent="0.25">
      <c r="A142" s="52">
        <v>6772174</v>
      </c>
      <c r="B142" s="51" t="s">
        <v>349</v>
      </c>
    </row>
    <row r="143" spans="1:2" x14ac:dyDescent="0.25">
      <c r="A143" s="52">
        <v>6772185</v>
      </c>
      <c r="B143" s="51" t="s">
        <v>350</v>
      </c>
    </row>
    <row r="144" spans="1:2" x14ac:dyDescent="0.25">
      <c r="A144" s="52">
        <v>6772148</v>
      </c>
      <c r="B144" s="51" t="s">
        <v>351</v>
      </c>
    </row>
    <row r="145" spans="1:2" x14ac:dyDescent="0.25">
      <c r="A145" s="52">
        <v>6772147</v>
      </c>
      <c r="B145" s="51" t="s">
        <v>351</v>
      </c>
    </row>
    <row r="146" spans="1:2" x14ac:dyDescent="0.25">
      <c r="A146" s="52">
        <v>6772146</v>
      </c>
      <c r="B146" s="51" t="s">
        <v>351</v>
      </c>
    </row>
    <row r="147" spans="1:2" x14ac:dyDescent="0.25">
      <c r="A147" s="52">
        <v>4545633</v>
      </c>
      <c r="B147" s="51" t="s">
        <v>352</v>
      </c>
    </row>
    <row r="148" spans="1:2" x14ac:dyDescent="0.25">
      <c r="A148" s="52">
        <v>4549693</v>
      </c>
      <c r="B148" s="51" t="s">
        <v>353</v>
      </c>
    </row>
    <row r="149" spans="1:2" x14ac:dyDescent="0.25">
      <c r="A149" s="52">
        <v>4591479</v>
      </c>
      <c r="B149" s="51" t="s">
        <v>354</v>
      </c>
    </row>
    <row r="150" spans="1:2" x14ac:dyDescent="0.25">
      <c r="A150" s="52">
        <v>4591481</v>
      </c>
      <c r="B150" s="51" t="s">
        <v>38</v>
      </c>
    </row>
    <row r="151" spans="1:2" x14ac:dyDescent="0.25">
      <c r="A151" s="52">
        <v>4591642</v>
      </c>
      <c r="B151" s="51" t="s">
        <v>355</v>
      </c>
    </row>
    <row r="152" spans="1:2" x14ac:dyDescent="0.25">
      <c r="A152" s="52">
        <v>4555433</v>
      </c>
      <c r="B152" s="51" t="s">
        <v>356</v>
      </c>
    </row>
    <row r="153" spans="1:2" x14ac:dyDescent="0.25">
      <c r="A153" s="52">
        <v>4591617</v>
      </c>
      <c r="B153" s="51" t="s">
        <v>40</v>
      </c>
    </row>
    <row r="154" spans="1:2" x14ac:dyDescent="0.25">
      <c r="A154" s="52">
        <v>4591615</v>
      </c>
      <c r="B154" s="51" t="s">
        <v>39</v>
      </c>
    </row>
    <row r="155" spans="1:2" x14ac:dyDescent="0.25">
      <c r="A155" s="52">
        <v>4545649</v>
      </c>
      <c r="B155" s="51" t="s">
        <v>357</v>
      </c>
    </row>
    <row r="156" spans="1:2" x14ac:dyDescent="0.25">
      <c r="A156" s="52">
        <v>4545650</v>
      </c>
      <c r="B156" s="51" t="s">
        <v>358</v>
      </c>
    </row>
    <row r="157" spans="1:2" x14ac:dyDescent="0.25">
      <c r="A157" s="52">
        <v>4545654</v>
      </c>
      <c r="B157" s="51" t="s">
        <v>359</v>
      </c>
    </row>
    <row r="158" spans="1:2" x14ac:dyDescent="0.25">
      <c r="A158" s="52">
        <v>6772184</v>
      </c>
      <c r="B158" s="51" t="s">
        <v>360</v>
      </c>
    </row>
    <row r="159" spans="1:2" x14ac:dyDescent="0.25">
      <c r="A159" s="52">
        <v>4545630</v>
      </c>
      <c r="B159" s="51" t="s">
        <v>361</v>
      </c>
    </row>
    <row r="160" spans="1:2" x14ac:dyDescent="0.25">
      <c r="A160" s="52">
        <v>4545631</v>
      </c>
      <c r="B160" s="51" t="s">
        <v>361</v>
      </c>
    </row>
    <row r="161" spans="1:2" x14ac:dyDescent="0.25">
      <c r="A161" s="52">
        <v>4545964</v>
      </c>
      <c r="B161" s="51" t="s">
        <v>362</v>
      </c>
    </row>
    <row r="162" spans="1:2" x14ac:dyDescent="0.25">
      <c r="A162" s="52">
        <v>4545937</v>
      </c>
      <c r="B162" s="51" t="s">
        <v>362</v>
      </c>
    </row>
    <row r="163" spans="1:2" x14ac:dyDescent="0.25">
      <c r="A163" s="52">
        <v>4591618</v>
      </c>
      <c r="B163" s="51" t="s">
        <v>363</v>
      </c>
    </row>
    <row r="164" spans="1:2" x14ac:dyDescent="0.25">
      <c r="A164" s="52">
        <v>6780384</v>
      </c>
      <c r="B164" s="51" t="s">
        <v>364</v>
      </c>
    </row>
    <row r="165" spans="1:2" x14ac:dyDescent="0.25">
      <c r="A165" s="52">
        <v>4608627</v>
      </c>
      <c r="B165" s="51" t="s">
        <v>364</v>
      </c>
    </row>
    <row r="166" spans="1:2" x14ac:dyDescent="0.25">
      <c r="A166" s="52">
        <v>6771970</v>
      </c>
      <c r="B166" s="51" t="s">
        <v>365</v>
      </c>
    </row>
    <row r="167" spans="1:2" x14ac:dyDescent="0.25">
      <c r="A167" s="52">
        <v>6772141</v>
      </c>
      <c r="B167" s="51" t="s">
        <v>366</v>
      </c>
    </row>
    <row r="168" spans="1:2" x14ac:dyDescent="0.25">
      <c r="A168" s="52">
        <v>6772175</v>
      </c>
      <c r="B168" s="51" t="s">
        <v>55</v>
      </c>
    </row>
    <row r="169" spans="1:2" x14ac:dyDescent="0.25">
      <c r="A169" s="52">
        <v>6800638</v>
      </c>
      <c r="B169" s="51" t="s">
        <v>218</v>
      </c>
    </row>
    <row r="170" spans="1:2" x14ac:dyDescent="0.25">
      <c r="A170" s="52">
        <v>6778573</v>
      </c>
      <c r="B170" s="51" t="s">
        <v>367</v>
      </c>
    </row>
    <row r="171" spans="1:2" x14ac:dyDescent="0.25">
      <c r="A171" s="52">
        <v>6795830</v>
      </c>
      <c r="B171" s="51" t="s">
        <v>368</v>
      </c>
    </row>
    <row r="172" spans="1:2" x14ac:dyDescent="0.25">
      <c r="A172" s="52">
        <v>6772172</v>
      </c>
      <c r="B172" s="51" t="s">
        <v>54</v>
      </c>
    </row>
    <row r="173" spans="1:2" x14ac:dyDescent="0.25">
      <c r="A173" s="52">
        <v>6774165</v>
      </c>
      <c r="B173" s="51" t="s">
        <v>369</v>
      </c>
    </row>
    <row r="174" spans="1:2" x14ac:dyDescent="0.25">
      <c r="A174" s="52">
        <v>6772999</v>
      </c>
      <c r="B174" s="51" t="s">
        <v>370</v>
      </c>
    </row>
    <row r="175" spans="1:2" x14ac:dyDescent="0.25">
      <c r="A175" s="52">
        <v>6772395</v>
      </c>
      <c r="B175" s="51" t="s">
        <v>371</v>
      </c>
    </row>
    <row r="176" spans="1:2" x14ac:dyDescent="0.25">
      <c r="A176" s="52">
        <v>6772204</v>
      </c>
      <c r="B176" s="51" t="s">
        <v>372</v>
      </c>
    </row>
    <row r="177" spans="1:2" x14ac:dyDescent="0.25">
      <c r="A177" s="52">
        <v>6772211</v>
      </c>
      <c r="B177" s="51" t="s">
        <v>373</v>
      </c>
    </row>
    <row r="178" spans="1:2" x14ac:dyDescent="0.25">
      <c r="A178" s="52">
        <v>6772178</v>
      </c>
      <c r="B178" s="51" t="s">
        <v>374</v>
      </c>
    </row>
    <row r="179" spans="1:2" x14ac:dyDescent="0.25">
      <c r="A179" s="52">
        <v>6772026</v>
      </c>
      <c r="B179" s="51" t="s">
        <v>49</v>
      </c>
    </row>
    <row r="180" spans="1:2" x14ac:dyDescent="0.25">
      <c r="A180" s="52">
        <v>6772050</v>
      </c>
      <c r="B180" s="51" t="s">
        <v>375</v>
      </c>
    </row>
    <row r="181" spans="1:2" x14ac:dyDescent="0.25">
      <c r="A181" s="52">
        <v>6772028</v>
      </c>
      <c r="B181" s="51" t="s">
        <v>376</v>
      </c>
    </row>
    <row r="182" spans="1:2" x14ac:dyDescent="0.25">
      <c r="A182" s="52">
        <v>6772027</v>
      </c>
      <c r="B182" s="51" t="s">
        <v>377</v>
      </c>
    </row>
    <row r="183" spans="1:2" x14ac:dyDescent="0.25">
      <c r="A183" s="52">
        <v>6772029</v>
      </c>
      <c r="B183" s="51" t="s">
        <v>378</v>
      </c>
    </row>
    <row r="184" spans="1:2" x14ac:dyDescent="0.25">
      <c r="A184" s="52">
        <v>6772212</v>
      </c>
      <c r="B184" s="51" t="s">
        <v>379</v>
      </c>
    </row>
    <row r="185" spans="1:2" x14ac:dyDescent="0.25">
      <c r="A185" s="52">
        <v>6772213</v>
      </c>
      <c r="B185" s="51" t="s">
        <v>380</v>
      </c>
    </row>
    <row r="186" spans="1:2" x14ac:dyDescent="0.25">
      <c r="A186" s="52">
        <v>6783748</v>
      </c>
      <c r="B186" s="51" t="s">
        <v>381</v>
      </c>
    </row>
    <row r="187" spans="1:2" x14ac:dyDescent="0.25">
      <c r="A187" s="52">
        <v>6783747</v>
      </c>
      <c r="B187" s="51" t="s">
        <v>381</v>
      </c>
    </row>
    <row r="188" spans="1:2" x14ac:dyDescent="0.25">
      <c r="A188" s="52">
        <v>6780579</v>
      </c>
      <c r="B188" s="51" t="s">
        <v>382</v>
      </c>
    </row>
    <row r="189" spans="1:2" x14ac:dyDescent="0.25">
      <c r="A189" s="52">
        <v>6772031</v>
      </c>
      <c r="B189" s="51" t="s">
        <v>383</v>
      </c>
    </row>
    <row r="190" spans="1:2" x14ac:dyDescent="0.25">
      <c r="A190" s="52">
        <v>6778098</v>
      </c>
      <c r="B190" s="51" t="s">
        <v>384</v>
      </c>
    </row>
    <row r="191" spans="1:2" x14ac:dyDescent="0.25">
      <c r="A191" s="52">
        <v>6772030</v>
      </c>
      <c r="B191" s="51" t="s">
        <v>385</v>
      </c>
    </row>
    <row r="192" spans="1:2" x14ac:dyDescent="0.25">
      <c r="A192" s="52">
        <v>6772032</v>
      </c>
      <c r="B192" s="51" t="s">
        <v>386</v>
      </c>
    </row>
    <row r="193" spans="1:2" x14ac:dyDescent="0.25">
      <c r="A193" s="52">
        <v>6772033</v>
      </c>
      <c r="B193" s="51" t="s">
        <v>387</v>
      </c>
    </row>
    <row r="194" spans="1:2" x14ac:dyDescent="0.25">
      <c r="A194" s="52">
        <v>6774180</v>
      </c>
      <c r="B194" s="51" t="s">
        <v>388</v>
      </c>
    </row>
    <row r="195" spans="1:2" x14ac:dyDescent="0.25">
      <c r="A195" s="52">
        <v>6772285</v>
      </c>
      <c r="B195" s="51" t="s">
        <v>389</v>
      </c>
    </row>
    <row r="196" spans="1:2" x14ac:dyDescent="0.25">
      <c r="A196" s="52">
        <v>6772371</v>
      </c>
      <c r="B196" s="51" t="s">
        <v>390</v>
      </c>
    </row>
    <row r="197" spans="1:2" x14ac:dyDescent="0.25">
      <c r="A197" s="52">
        <v>6772404</v>
      </c>
      <c r="B197" s="51" t="s">
        <v>391</v>
      </c>
    </row>
    <row r="198" spans="1:2" x14ac:dyDescent="0.25">
      <c r="A198" s="52">
        <v>6793691</v>
      </c>
      <c r="B198" s="51" t="s">
        <v>392</v>
      </c>
    </row>
    <row r="199" spans="1:2" x14ac:dyDescent="0.25">
      <c r="A199" s="52">
        <v>6794722</v>
      </c>
      <c r="B199" s="51" t="s">
        <v>393</v>
      </c>
    </row>
    <row r="200" spans="1:2" x14ac:dyDescent="0.25">
      <c r="A200" s="52">
        <v>6772351</v>
      </c>
      <c r="B200" s="51" t="s">
        <v>394</v>
      </c>
    </row>
    <row r="201" spans="1:2" x14ac:dyDescent="0.25">
      <c r="A201" s="52">
        <v>6793691</v>
      </c>
      <c r="B201" s="51" t="s">
        <v>392</v>
      </c>
    </row>
    <row r="202" spans="1:2" x14ac:dyDescent="0.25">
      <c r="A202" s="52">
        <v>4545991</v>
      </c>
      <c r="B202" s="51" t="s">
        <v>395</v>
      </c>
    </row>
    <row r="203" spans="1:2" x14ac:dyDescent="0.25">
      <c r="A203" s="52">
        <v>6772286</v>
      </c>
      <c r="B203" s="51" t="s">
        <v>396</v>
      </c>
    </row>
    <row r="204" spans="1:2" x14ac:dyDescent="0.25">
      <c r="A204" s="52">
        <v>6772285</v>
      </c>
      <c r="B204" s="51" t="s">
        <v>389</v>
      </c>
    </row>
    <row r="205" spans="1:2" x14ac:dyDescent="0.25">
      <c r="A205" s="52">
        <v>6776268</v>
      </c>
      <c r="B205" s="51" t="s">
        <v>397</v>
      </c>
    </row>
    <row r="206" spans="1:2" x14ac:dyDescent="0.25">
      <c r="A206" s="52">
        <v>6793835</v>
      </c>
      <c r="B206" s="51" t="s">
        <v>398</v>
      </c>
    </row>
    <row r="207" spans="1:2" x14ac:dyDescent="0.25">
      <c r="A207" s="52">
        <v>4667452</v>
      </c>
      <c r="B207" s="51" t="s">
        <v>211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14"/>
  <sheetViews>
    <sheetView workbookViewId="0">
      <selection activeCell="B5106" sqref="B5106"/>
    </sheetView>
  </sheetViews>
  <sheetFormatPr defaultRowHeight="15" x14ac:dyDescent="0.25"/>
  <cols>
    <col min="1" max="1" width="52.5703125" bestFit="1" customWidth="1"/>
  </cols>
  <sheetData>
    <row r="1" spans="1:1" x14ac:dyDescent="0.25">
      <c r="A1" s="6" t="s">
        <v>22</v>
      </c>
    </row>
    <row r="2" spans="1:1" x14ac:dyDescent="0.25">
      <c r="A2" s="5" t="s">
        <v>81</v>
      </c>
    </row>
    <row r="3" spans="1:1" x14ac:dyDescent="0.25">
      <c r="A3" s="5" t="s">
        <v>82</v>
      </c>
    </row>
    <row r="4" spans="1:1" x14ac:dyDescent="0.25">
      <c r="A4" s="5" t="s">
        <v>83</v>
      </c>
    </row>
    <row r="5" spans="1:1" x14ac:dyDescent="0.25">
      <c r="A5" s="5" t="s">
        <v>24</v>
      </c>
    </row>
    <row r="6" spans="1:1" x14ac:dyDescent="0.25">
      <c r="A6" s="5" t="s">
        <v>84</v>
      </c>
    </row>
    <row r="7" spans="1:1" x14ac:dyDescent="0.25">
      <c r="A7" s="5" t="s">
        <v>85</v>
      </c>
    </row>
    <row r="8" spans="1:1" x14ac:dyDescent="0.25">
      <c r="A8" s="5" t="s">
        <v>86</v>
      </c>
    </row>
    <row r="9" spans="1:1" x14ac:dyDescent="0.25">
      <c r="A9" s="5" t="s">
        <v>87</v>
      </c>
    </row>
    <row r="10" spans="1:1" x14ac:dyDescent="0.25">
      <c r="A10" s="5" t="s">
        <v>88</v>
      </c>
    </row>
    <row r="11" spans="1:1" x14ac:dyDescent="0.25">
      <c r="A11" s="5" t="s">
        <v>89</v>
      </c>
    </row>
    <row r="12" spans="1:1" x14ac:dyDescent="0.25">
      <c r="A12" s="5" t="s">
        <v>90</v>
      </c>
    </row>
    <row r="13" spans="1:1" x14ac:dyDescent="0.25">
      <c r="A13" s="5" t="s">
        <v>91</v>
      </c>
    </row>
    <row r="14" spans="1:1" x14ac:dyDescent="0.25">
      <c r="A14" s="5" t="s">
        <v>92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F39"/>
  <sheetViews>
    <sheetView topLeftCell="A31" workbookViewId="0">
      <selection activeCell="D37" sqref="D37"/>
    </sheetView>
  </sheetViews>
  <sheetFormatPr defaultRowHeight="15" x14ac:dyDescent="0.25"/>
  <cols>
    <col min="1" max="2" width="11.140625" bestFit="1" customWidth="1"/>
    <col min="3" max="3" width="16.7109375" bestFit="1" customWidth="1"/>
    <col min="4" max="4" width="10.28515625" bestFit="1" customWidth="1"/>
    <col min="5" max="5" width="25.85546875" bestFit="1" customWidth="1"/>
    <col min="6" max="6" width="16.42578125" bestFit="1" customWidth="1"/>
  </cols>
  <sheetData>
    <row r="1" spans="1:6" x14ac:dyDescent="0.25">
      <c r="A1" s="11" t="s">
        <v>93</v>
      </c>
      <c r="B1" s="11" t="s">
        <v>10</v>
      </c>
      <c r="C1" s="11" t="s">
        <v>94</v>
      </c>
      <c r="D1" s="11" t="s">
        <v>95</v>
      </c>
      <c r="E1" s="11" t="s">
        <v>96</v>
      </c>
      <c r="F1" s="11" t="s">
        <v>97</v>
      </c>
    </row>
    <row r="2" spans="1:6" x14ac:dyDescent="0.25">
      <c r="A2" s="12" t="s">
        <v>98</v>
      </c>
      <c r="B2" s="13" t="s">
        <v>172</v>
      </c>
      <c r="C2" s="14" t="s">
        <v>99</v>
      </c>
      <c r="D2" s="12" t="s">
        <v>98</v>
      </c>
      <c r="E2" s="15" t="str">
        <f t="shared" ref="E2:E39" si="0">CONCATENATE(D2," - ",C2)</f>
        <v>CLC - NITEROI</v>
      </c>
      <c r="F2" s="12" t="s">
        <v>100</v>
      </c>
    </row>
    <row r="3" spans="1:6" x14ac:dyDescent="0.25">
      <c r="A3" s="12" t="s">
        <v>98</v>
      </c>
      <c r="B3" s="13" t="s">
        <v>173</v>
      </c>
      <c r="C3" s="14" t="s">
        <v>99</v>
      </c>
      <c r="D3" s="12" t="s">
        <v>98</v>
      </c>
      <c r="E3" s="15" t="str">
        <f t="shared" ref="E3" si="1">CONCATENATE(D3," - ",C3)</f>
        <v>CLC - NITEROI</v>
      </c>
      <c r="F3" s="12" t="s">
        <v>100</v>
      </c>
    </row>
    <row r="4" spans="1:6" x14ac:dyDescent="0.25">
      <c r="A4" s="12" t="s">
        <v>101</v>
      </c>
      <c r="B4" s="13" t="s">
        <v>102</v>
      </c>
      <c r="C4" s="14" t="s">
        <v>103</v>
      </c>
      <c r="D4" s="12" t="s">
        <v>104</v>
      </c>
      <c r="E4" s="15" t="str">
        <f t="shared" si="0"/>
        <v>AMPLA - ARARUAMA</v>
      </c>
      <c r="F4" s="12" t="s">
        <v>105</v>
      </c>
    </row>
    <row r="5" spans="1:6" x14ac:dyDescent="0.25">
      <c r="A5" s="12" t="s">
        <v>101</v>
      </c>
      <c r="B5" s="13" t="s">
        <v>106</v>
      </c>
      <c r="C5" s="14" t="s">
        <v>107</v>
      </c>
      <c r="D5" s="12" t="s">
        <v>104</v>
      </c>
      <c r="E5" s="15" t="str">
        <f t="shared" si="0"/>
        <v>AMPLA - CAMPOS</v>
      </c>
      <c r="F5" s="12" t="s">
        <v>108</v>
      </c>
    </row>
    <row r="6" spans="1:6" x14ac:dyDescent="0.25">
      <c r="A6" s="12" t="s">
        <v>109</v>
      </c>
      <c r="B6" s="13" t="s">
        <v>110</v>
      </c>
      <c r="C6" s="14" t="s">
        <v>111</v>
      </c>
      <c r="D6" s="12" t="s">
        <v>112</v>
      </c>
      <c r="E6" s="15" t="str">
        <f t="shared" si="0"/>
        <v>SOTER - RESENDE</v>
      </c>
      <c r="F6" s="12" t="s">
        <v>113</v>
      </c>
    </row>
    <row r="7" spans="1:6" x14ac:dyDescent="0.25">
      <c r="A7" s="12" t="s">
        <v>116</v>
      </c>
      <c r="B7" s="13" t="s">
        <v>114</v>
      </c>
      <c r="C7" s="14" t="s">
        <v>115</v>
      </c>
      <c r="D7" s="12" t="s">
        <v>116</v>
      </c>
      <c r="E7" s="15" t="str">
        <f t="shared" si="0"/>
        <v>MEDRAL - ITABORAÍ</v>
      </c>
      <c r="F7" s="12" t="s">
        <v>100</v>
      </c>
    </row>
    <row r="8" spans="1:6" x14ac:dyDescent="0.25">
      <c r="A8" s="12" t="s">
        <v>101</v>
      </c>
      <c r="B8" s="13" t="s">
        <v>117</v>
      </c>
      <c r="C8" s="14" t="s">
        <v>118</v>
      </c>
      <c r="D8" s="12" t="s">
        <v>104</v>
      </c>
      <c r="E8" s="15" t="str">
        <f t="shared" si="0"/>
        <v>AMPLA - PÁDUA</v>
      </c>
      <c r="F8" s="12" t="s">
        <v>119</v>
      </c>
    </row>
    <row r="9" spans="1:6" x14ac:dyDescent="0.25">
      <c r="A9" s="12" t="s">
        <v>116</v>
      </c>
      <c r="B9" s="13" t="s">
        <v>120</v>
      </c>
      <c r="C9" s="14" t="s">
        <v>115</v>
      </c>
      <c r="D9" s="12" t="s">
        <v>116</v>
      </c>
      <c r="E9" s="15" t="str">
        <f t="shared" si="0"/>
        <v>MEDRAL - ITABORAÍ</v>
      </c>
      <c r="F9" s="12" t="s">
        <v>100</v>
      </c>
    </row>
    <row r="10" spans="1:6" x14ac:dyDescent="0.25">
      <c r="A10" s="12" t="s">
        <v>109</v>
      </c>
      <c r="B10" s="13" t="s">
        <v>121</v>
      </c>
      <c r="C10" s="14" t="s">
        <v>122</v>
      </c>
      <c r="D10" s="12" t="s">
        <v>123</v>
      </c>
      <c r="E10" s="15" t="str">
        <f t="shared" si="0"/>
        <v>COMPEL  - PETRÓPOLIS</v>
      </c>
      <c r="F10" s="12" t="s">
        <v>124</v>
      </c>
    </row>
    <row r="11" spans="1:6" x14ac:dyDescent="0.25">
      <c r="A11" s="12" t="s">
        <v>109</v>
      </c>
      <c r="B11" s="13" t="s">
        <v>125</v>
      </c>
      <c r="C11" s="14" t="s">
        <v>126</v>
      </c>
      <c r="D11" s="12" t="s">
        <v>127</v>
      </c>
      <c r="E11" s="15" t="str">
        <f t="shared" si="0"/>
        <v>COMPEL - TERESÓPOLIS</v>
      </c>
      <c r="F11" s="12" t="s">
        <v>124</v>
      </c>
    </row>
    <row r="12" spans="1:6" x14ac:dyDescent="0.25">
      <c r="A12" s="12" t="s">
        <v>109</v>
      </c>
      <c r="B12" s="13" t="s">
        <v>128</v>
      </c>
      <c r="C12" s="14" t="s">
        <v>129</v>
      </c>
      <c r="D12" s="12" t="s">
        <v>130</v>
      </c>
      <c r="E12" s="15" t="str">
        <f t="shared" si="0"/>
        <v>SOTER (R.A.) - SÃO GONÇALO</v>
      </c>
      <c r="F12" s="12" t="s">
        <v>100</v>
      </c>
    </row>
    <row r="13" spans="1:6" x14ac:dyDescent="0.25">
      <c r="A13" s="12" t="s">
        <v>109</v>
      </c>
      <c r="B13" s="12" t="s">
        <v>131</v>
      </c>
      <c r="C13" s="14" t="s">
        <v>132</v>
      </c>
      <c r="D13" s="12" t="s">
        <v>133</v>
      </c>
      <c r="E13" s="15" t="str">
        <f t="shared" si="0"/>
        <v>DELTA - SÃO PEDRO</v>
      </c>
      <c r="F13" s="12" t="s">
        <v>105</v>
      </c>
    </row>
    <row r="14" spans="1:6" x14ac:dyDescent="0.25">
      <c r="A14" s="12" t="s">
        <v>109</v>
      </c>
      <c r="B14" s="13" t="s">
        <v>134</v>
      </c>
      <c r="C14" s="14" t="s">
        <v>135</v>
      </c>
      <c r="D14" s="12" t="s">
        <v>127</v>
      </c>
      <c r="E14" s="15" t="str">
        <f t="shared" si="0"/>
        <v>COMPEL - MAGÉ</v>
      </c>
      <c r="F14" s="12" t="s">
        <v>100</v>
      </c>
    </row>
    <row r="15" spans="1:6" x14ac:dyDescent="0.25">
      <c r="A15" s="12" t="s">
        <v>109</v>
      </c>
      <c r="B15" s="13" t="s">
        <v>136</v>
      </c>
      <c r="C15" s="14" t="s">
        <v>137</v>
      </c>
      <c r="D15" s="12" t="s">
        <v>112</v>
      </c>
      <c r="E15" s="15" t="str">
        <f t="shared" si="0"/>
        <v>SOTER - ANGRA DOS REIS</v>
      </c>
      <c r="F15" s="12" t="s">
        <v>113</v>
      </c>
    </row>
    <row r="16" spans="1:6" x14ac:dyDescent="0.25">
      <c r="A16" s="12" t="s">
        <v>101</v>
      </c>
      <c r="B16" s="13" t="s">
        <v>138</v>
      </c>
      <c r="C16" s="14" t="s">
        <v>111</v>
      </c>
      <c r="D16" s="12" t="s">
        <v>104</v>
      </c>
      <c r="E16" s="15" t="str">
        <f t="shared" si="0"/>
        <v>AMPLA - RESENDE</v>
      </c>
      <c r="F16" s="12" t="s">
        <v>113</v>
      </c>
    </row>
    <row r="17" spans="1:6" x14ac:dyDescent="0.25">
      <c r="A17" s="12" t="s">
        <v>109</v>
      </c>
      <c r="B17" s="13" t="s">
        <v>139</v>
      </c>
      <c r="C17" s="14" t="s">
        <v>107</v>
      </c>
      <c r="D17" s="12" t="s">
        <v>140</v>
      </c>
      <c r="E17" s="15" t="str">
        <f t="shared" si="0"/>
        <v>GEMON - CAMPOS</v>
      </c>
      <c r="F17" s="12" t="s">
        <v>108</v>
      </c>
    </row>
    <row r="18" spans="1:6" x14ac:dyDescent="0.25">
      <c r="A18" s="12" t="s">
        <v>109</v>
      </c>
      <c r="B18" s="13" t="s">
        <v>141</v>
      </c>
      <c r="C18" s="14" t="s">
        <v>142</v>
      </c>
      <c r="D18" s="12" t="s">
        <v>140</v>
      </c>
      <c r="E18" s="15" t="str">
        <f t="shared" si="0"/>
        <v>GEMON - ITAPERUNA</v>
      </c>
      <c r="F18" s="12" t="s">
        <v>119</v>
      </c>
    </row>
    <row r="19" spans="1:6" x14ac:dyDescent="0.25">
      <c r="A19" s="12" t="s">
        <v>109</v>
      </c>
      <c r="B19" s="13" t="s">
        <v>143</v>
      </c>
      <c r="C19" s="14" t="s">
        <v>118</v>
      </c>
      <c r="D19" s="12" t="s">
        <v>140</v>
      </c>
      <c r="E19" s="15" t="str">
        <f t="shared" si="0"/>
        <v>GEMON - PÁDUA</v>
      </c>
      <c r="F19" s="12" t="s">
        <v>119</v>
      </c>
    </row>
    <row r="20" spans="1:6" x14ac:dyDescent="0.25">
      <c r="A20" s="12" t="s">
        <v>109</v>
      </c>
      <c r="B20" s="13" t="s">
        <v>144</v>
      </c>
      <c r="C20" s="14" t="s">
        <v>145</v>
      </c>
      <c r="D20" s="12" t="s">
        <v>140</v>
      </c>
      <c r="E20" s="15" t="str">
        <f t="shared" si="0"/>
        <v>GEMON - CANTAGALO</v>
      </c>
      <c r="F20" s="12" t="s">
        <v>119</v>
      </c>
    </row>
    <row r="21" spans="1:6" x14ac:dyDescent="0.25">
      <c r="A21" s="12" t="s">
        <v>109</v>
      </c>
      <c r="B21" s="13" t="s">
        <v>1</v>
      </c>
      <c r="C21" s="14" t="s">
        <v>146</v>
      </c>
      <c r="D21" s="12" t="s">
        <v>147</v>
      </c>
      <c r="E21" s="15" t="str">
        <f t="shared" si="0"/>
        <v>NGS - NITERÓI</v>
      </c>
      <c r="F21" s="12" t="s">
        <v>100</v>
      </c>
    </row>
    <row r="22" spans="1:6" x14ac:dyDescent="0.25">
      <c r="A22" s="12" t="s">
        <v>101</v>
      </c>
      <c r="B22" s="13" t="s">
        <v>148</v>
      </c>
      <c r="C22" s="14" t="s">
        <v>146</v>
      </c>
      <c r="D22" s="12" t="s">
        <v>104</v>
      </c>
      <c r="E22" s="15" t="str">
        <f t="shared" si="0"/>
        <v>AMPLA - NITERÓI</v>
      </c>
      <c r="F22" s="12" t="s">
        <v>100</v>
      </c>
    </row>
    <row r="23" spans="1:6" x14ac:dyDescent="0.25">
      <c r="A23" s="12" t="s">
        <v>101</v>
      </c>
      <c r="B23" s="13" t="s">
        <v>149</v>
      </c>
      <c r="C23" s="14" t="s">
        <v>150</v>
      </c>
      <c r="D23" s="12" t="s">
        <v>104</v>
      </c>
      <c r="E23" s="15" t="str">
        <f t="shared" si="0"/>
        <v>AMPLA - MARICÁ</v>
      </c>
      <c r="F23" s="12" t="s">
        <v>100</v>
      </c>
    </row>
    <row r="24" spans="1:6" x14ac:dyDescent="0.25">
      <c r="A24" s="12" t="s">
        <v>101</v>
      </c>
      <c r="B24" s="13" t="s">
        <v>151</v>
      </c>
      <c r="C24" s="14" t="s">
        <v>137</v>
      </c>
      <c r="D24" s="12" t="s">
        <v>104</v>
      </c>
      <c r="E24" s="15" t="str">
        <f t="shared" si="0"/>
        <v>AMPLA - ANGRA DOS REIS</v>
      </c>
      <c r="F24" s="12" t="s">
        <v>113</v>
      </c>
    </row>
    <row r="25" spans="1:6" x14ac:dyDescent="0.25">
      <c r="A25" s="12" t="s">
        <v>101</v>
      </c>
      <c r="B25" s="13" t="s">
        <v>152</v>
      </c>
      <c r="C25" s="14" t="s">
        <v>153</v>
      </c>
      <c r="D25" s="12" t="s">
        <v>104</v>
      </c>
      <c r="E25" s="15" t="str">
        <f t="shared" si="0"/>
        <v>AMPLA - MACAÉ</v>
      </c>
      <c r="F25" s="12" t="s">
        <v>108</v>
      </c>
    </row>
    <row r="26" spans="1:6" x14ac:dyDescent="0.25">
      <c r="A26" s="12" t="s">
        <v>101</v>
      </c>
      <c r="B26" s="13" t="s">
        <v>154</v>
      </c>
      <c r="C26" s="14" t="s">
        <v>135</v>
      </c>
      <c r="D26" s="12" t="s">
        <v>104</v>
      </c>
      <c r="E26" s="15" t="str">
        <f t="shared" si="0"/>
        <v>AMPLA - MAGÉ</v>
      </c>
      <c r="F26" s="12" t="s">
        <v>100</v>
      </c>
    </row>
    <row r="27" spans="1:6" x14ac:dyDescent="0.25">
      <c r="A27" s="12" t="s">
        <v>101</v>
      </c>
      <c r="B27" s="13" t="s">
        <v>155</v>
      </c>
      <c r="C27" s="14" t="s">
        <v>156</v>
      </c>
      <c r="D27" s="12" t="s">
        <v>104</v>
      </c>
      <c r="E27" s="15" t="str">
        <f t="shared" si="0"/>
        <v>AMPLA - CABO FRIO</v>
      </c>
      <c r="F27" s="12" t="s">
        <v>105</v>
      </c>
    </row>
    <row r="28" spans="1:6" x14ac:dyDescent="0.25">
      <c r="A28" s="12" t="s">
        <v>101</v>
      </c>
      <c r="B28" s="13" t="s">
        <v>157</v>
      </c>
      <c r="C28" s="14" t="s">
        <v>142</v>
      </c>
      <c r="D28" s="12" t="s">
        <v>104</v>
      </c>
      <c r="E28" s="15" t="str">
        <f t="shared" si="0"/>
        <v>AMPLA - ITAPERUNA</v>
      </c>
      <c r="F28" s="12" t="s">
        <v>119</v>
      </c>
    </row>
    <row r="29" spans="1:6" x14ac:dyDescent="0.25">
      <c r="A29" s="12" t="s">
        <v>101</v>
      </c>
      <c r="B29" s="13" t="s">
        <v>158</v>
      </c>
      <c r="C29" s="14" t="s">
        <v>145</v>
      </c>
      <c r="D29" s="12" t="s">
        <v>104</v>
      </c>
      <c r="E29" s="15" t="str">
        <f t="shared" si="0"/>
        <v>AMPLA - CANTAGALO</v>
      </c>
      <c r="F29" s="12" t="s">
        <v>119</v>
      </c>
    </row>
    <row r="30" spans="1:6" x14ac:dyDescent="0.25">
      <c r="A30" s="12" t="s">
        <v>101</v>
      </c>
      <c r="B30" s="13" t="s">
        <v>159</v>
      </c>
      <c r="C30" s="14" t="s">
        <v>122</v>
      </c>
      <c r="D30" s="12" t="s">
        <v>104</v>
      </c>
      <c r="E30" s="15" t="str">
        <f t="shared" si="0"/>
        <v>AMPLA - PETRÓPOLIS</v>
      </c>
      <c r="F30" s="12" t="s">
        <v>124</v>
      </c>
    </row>
    <row r="31" spans="1:6" x14ac:dyDescent="0.25">
      <c r="A31" s="12" t="s">
        <v>101</v>
      </c>
      <c r="B31" s="13" t="s">
        <v>160</v>
      </c>
      <c r="C31" s="14" t="s">
        <v>126</v>
      </c>
      <c r="D31" s="12" t="s">
        <v>104</v>
      </c>
      <c r="E31" s="15" t="str">
        <f t="shared" si="0"/>
        <v>AMPLA - TERESÓPOLIS</v>
      </c>
      <c r="F31" s="12" t="s">
        <v>124</v>
      </c>
    </row>
    <row r="32" spans="1:6" x14ac:dyDescent="0.25">
      <c r="A32" s="12" t="s">
        <v>101</v>
      </c>
      <c r="B32" s="13" t="s">
        <v>161</v>
      </c>
      <c r="C32" s="14" t="s">
        <v>129</v>
      </c>
      <c r="D32" s="12" t="s">
        <v>104</v>
      </c>
      <c r="E32" s="15" t="str">
        <f t="shared" si="0"/>
        <v>AMPLA - SÃO GONÇALO</v>
      </c>
      <c r="F32" s="12" t="s">
        <v>100</v>
      </c>
    </row>
    <row r="33" spans="1:6" x14ac:dyDescent="0.25">
      <c r="A33" s="12" t="s">
        <v>109</v>
      </c>
      <c r="B33" s="13" t="s">
        <v>162</v>
      </c>
      <c r="C33" s="14" t="s">
        <v>132</v>
      </c>
      <c r="D33" s="12" t="s">
        <v>130</v>
      </c>
      <c r="E33" s="15" t="str">
        <f t="shared" si="0"/>
        <v>SOTER (R.A.) - SÃO PEDRO</v>
      </c>
      <c r="F33" s="12" t="s">
        <v>105</v>
      </c>
    </row>
    <row r="34" spans="1:6" x14ac:dyDescent="0.25">
      <c r="A34" s="12" t="s">
        <v>109</v>
      </c>
      <c r="B34" s="13" t="s">
        <v>163</v>
      </c>
      <c r="C34" s="14" t="s">
        <v>107</v>
      </c>
      <c r="D34" s="12" t="s">
        <v>127</v>
      </c>
      <c r="E34" s="15" t="str">
        <f t="shared" si="0"/>
        <v>COMPEL - CAMPOS</v>
      </c>
      <c r="F34" s="12" t="s">
        <v>108</v>
      </c>
    </row>
    <row r="35" spans="1:6" x14ac:dyDescent="0.25">
      <c r="A35" s="12" t="s">
        <v>109</v>
      </c>
      <c r="B35" s="13" t="s">
        <v>164</v>
      </c>
      <c r="C35" s="14" t="s">
        <v>153</v>
      </c>
      <c r="D35" s="12" t="s">
        <v>127</v>
      </c>
      <c r="E35" s="15" t="str">
        <f t="shared" si="0"/>
        <v>COMPEL - MACAÉ</v>
      </c>
      <c r="F35" s="12" t="s">
        <v>108</v>
      </c>
    </row>
    <row r="36" spans="1:6" x14ac:dyDescent="0.25">
      <c r="A36" s="12" t="s">
        <v>109</v>
      </c>
      <c r="B36" s="13" t="s">
        <v>165</v>
      </c>
      <c r="C36" s="14" t="s">
        <v>129</v>
      </c>
      <c r="D36" s="12" t="s">
        <v>175</v>
      </c>
      <c r="E36" s="15" t="str">
        <f t="shared" si="0"/>
        <v>COMPEL II - SÃO GONÇALO</v>
      </c>
      <c r="F36" s="12" t="s">
        <v>100</v>
      </c>
    </row>
    <row r="37" spans="1:6" x14ac:dyDescent="0.25">
      <c r="A37" s="12" t="s">
        <v>109</v>
      </c>
      <c r="B37" s="13" t="s">
        <v>166</v>
      </c>
      <c r="C37" s="14" t="s">
        <v>156</v>
      </c>
      <c r="D37" s="12" t="s">
        <v>167</v>
      </c>
      <c r="E37" s="15" t="str">
        <f t="shared" si="0"/>
        <v>JVP - CABO FRIO</v>
      </c>
      <c r="F37" s="12" t="s">
        <v>105</v>
      </c>
    </row>
    <row r="38" spans="1:6" x14ac:dyDescent="0.25">
      <c r="A38" s="12" t="s">
        <v>109</v>
      </c>
      <c r="B38" s="13" t="s">
        <v>168</v>
      </c>
      <c r="C38" s="14" t="s">
        <v>107</v>
      </c>
      <c r="D38" s="12" t="s">
        <v>169</v>
      </c>
      <c r="E38" s="15" t="str">
        <f t="shared" si="0"/>
        <v>COMFICA - CAMPOS</v>
      </c>
      <c r="F38" s="12" t="s">
        <v>108</v>
      </c>
    </row>
    <row r="39" spans="1:6" x14ac:dyDescent="0.25">
      <c r="A39" s="12" t="s">
        <v>109</v>
      </c>
      <c r="B39" s="13" t="s">
        <v>170</v>
      </c>
      <c r="C39" s="14" t="s">
        <v>171</v>
      </c>
      <c r="D39" s="12" t="s">
        <v>169</v>
      </c>
      <c r="E39" s="15" t="str">
        <f t="shared" si="0"/>
        <v>COMFICA - BARRA DE SÃO JOÃO</v>
      </c>
      <c r="F39" s="12" t="s">
        <v>105</v>
      </c>
    </row>
  </sheetData>
  <autoFilter ref="A1:F39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5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2</vt:i4>
      </vt:variant>
    </vt:vector>
  </HeadingPairs>
  <TitlesOfParts>
    <vt:vector size="8" baseType="lpstr">
      <vt:lpstr>Ficha_Solicitação_Material</vt:lpstr>
      <vt:lpstr>Codigo_Material</vt:lpstr>
      <vt:lpstr>Materiais_COMPEL</vt:lpstr>
      <vt:lpstr>Status</vt:lpstr>
      <vt:lpstr>Centros_SAP</vt:lpstr>
      <vt:lpstr>Gráf1</vt:lpstr>
      <vt:lpstr>Centros_SAP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Matta</dc:creator>
  <cp:lastModifiedBy>Alex Piter</cp:lastModifiedBy>
  <cp:lastPrinted>2015-04-13T16:27:06Z</cp:lastPrinted>
  <dcterms:created xsi:type="dcterms:W3CDTF">2015-04-13T13:14:39Z</dcterms:created>
  <dcterms:modified xsi:type="dcterms:W3CDTF">2019-06-14T18:03:35Z</dcterms:modified>
</cp:coreProperties>
</file>